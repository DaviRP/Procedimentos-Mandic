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01001638\Downloads\"/>
    </mc:Choice>
  </mc:AlternateContent>
  <xr:revisionPtr revIDLastSave="0" documentId="13_ncr:1_{35B93028-6CCC-4975-BB0B-F2F30AD7B0F5}" xr6:coauthVersionLast="47" xr6:coauthVersionMax="47" xr10:uidLastSave="{00000000-0000-0000-0000-000000000000}"/>
  <bookViews>
    <workbookView xWindow="-108" yWindow="-108" windowWidth="23256" windowHeight="13896" tabRatio="500" xr2:uid="{00000000-000D-0000-FFFF-FFFF00000000}"/>
  </bookViews>
  <sheets>
    <sheet name="Planos de tratamento" sheetId="1" r:id="rId1"/>
  </sheets>
  <definedNames>
    <definedName name="_xlnm._FilterDatabase" localSheetId="0" hidden="1">'Planos de tratamento'!$A$1:$BB$793</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B793" i="1" l="1"/>
  <c r="BA793" i="1"/>
  <c r="AZ793" i="1"/>
  <c r="AY793" i="1"/>
  <c r="AV793" i="1"/>
  <c r="AU793" i="1"/>
  <c r="AS793" i="1"/>
  <c r="AJ793" i="1"/>
  <c r="AI793" i="1"/>
  <c r="AH793" i="1"/>
  <c r="AG793" i="1"/>
  <c r="BA792" i="1"/>
  <c r="AZ792" i="1"/>
  <c r="AY792" i="1"/>
  <c r="AV792" i="1"/>
  <c r="AU792" i="1"/>
  <c r="AS792" i="1"/>
  <c r="AJ792" i="1"/>
  <c r="AI792" i="1"/>
  <c r="AH792" i="1"/>
  <c r="AG792" i="1"/>
  <c r="BA791" i="1"/>
  <c r="BB791" i="1" s="1"/>
  <c r="AZ791" i="1"/>
  <c r="AY791" i="1"/>
  <c r="AV791" i="1"/>
  <c r="AU791" i="1"/>
  <c r="AS791" i="1"/>
  <c r="AJ791" i="1"/>
  <c r="AI791" i="1"/>
  <c r="AH791" i="1"/>
  <c r="AG791" i="1"/>
  <c r="BA790" i="1"/>
  <c r="AZ790" i="1"/>
  <c r="AY790" i="1"/>
  <c r="AV790" i="1"/>
  <c r="AU790" i="1"/>
  <c r="AS790" i="1"/>
  <c r="AJ790" i="1"/>
  <c r="AI790" i="1"/>
  <c r="AH790" i="1"/>
  <c r="AG790" i="1"/>
  <c r="BA789" i="1"/>
  <c r="BB789" i="1" s="1"/>
  <c r="AZ789" i="1"/>
  <c r="AY789" i="1"/>
  <c r="AV789" i="1"/>
  <c r="AU789" i="1"/>
  <c r="AS789" i="1"/>
  <c r="AJ789" i="1"/>
  <c r="AI789" i="1"/>
  <c r="AH789" i="1"/>
  <c r="AG789" i="1"/>
  <c r="BB788" i="1"/>
  <c r="BA788" i="1"/>
  <c r="AZ788" i="1"/>
  <c r="AY788" i="1"/>
  <c r="AV788" i="1"/>
  <c r="AU788" i="1"/>
  <c r="AS788" i="1"/>
  <c r="AJ788" i="1"/>
  <c r="AI788" i="1"/>
  <c r="AH788" i="1"/>
  <c r="AG788" i="1"/>
  <c r="BA787" i="1"/>
  <c r="AZ787" i="1"/>
  <c r="AY787" i="1"/>
  <c r="AV787" i="1"/>
  <c r="AU787" i="1"/>
  <c r="AS787" i="1"/>
  <c r="AJ787" i="1"/>
  <c r="AI787" i="1"/>
  <c r="AH787" i="1"/>
  <c r="AG787" i="1"/>
  <c r="BA786" i="1"/>
  <c r="AZ786" i="1"/>
  <c r="AY786" i="1"/>
  <c r="AV786" i="1"/>
  <c r="AU786" i="1"/>
  <c r="AS786" i="1"/>
  <c r="AJ786" i="1"/>
  <c r="AI786" i="1"/>
  <c r="AH786" i="1"/>
  <c r="AG786" i="1"/>
  <c r="BB785" i="1"/>
  <c r="BA785" i="1"/>
  <c r="AZ785" i="1"/>
  <c r="AY785" i="1"/>
  <c r="AV785" i="1"/>
  <c r="AU785" i="1"/>
  <c r="AS785" i="1"/>
  <c r="AJ785" i="1"/>
  <c r="AI785" i="1"/>
  <c r="AH785" i="1"/>
  <c r="AG785" i="1"/>
  <c r="BB784" i="1"/>
  <c r="BA784" i="1"/>
  <c r="AZ784" i="1"/>
  <c r="AY784" i="1"/>
  <c r="AV784" i="1"/>
  <c r="AU784" i="1"/>
  <c r="AS784" i="1"/>
  <c r="AJ784" i="1"/>
  <c r="AI784" i="1"/>
  <c r="AH784" i="1"/>
  <c r="AG784" i="1"/>
  <c r="BB783" i="1"/>
  <c r="BA783" i="1"/>
  <c r="AZ783" i="1"/>
  <c r="AY783" i="1"/>
  <c r="AV783" i="1"/>
  <c r="AU783" i="1"/>
  <c r="AS783" i="1"/>
  <c r="AJ783" i="1"/>
  <c r="AI783" i="1"/>
  <c r="AH783" i="1"/>
  <c r="AG783" i="1"/>
  <c r="BB782" i="1"/>
  <c r="BA782" i="1"/>
  <c r="AZ782" i="1"/>
  <c r="AY782" i="1"/>
  <c r="AV782" i="1"/>
  <c r="AU782" i="1"/>
  <c r="AS782" i="1"/>
  <c r="AJ782" i="1"/>
  <c r="AI782" i="1"/>
  <c r="AH782" i="1"/>
  <c r="AG782" i="1"/>
  <c r="BB781" i="1"/>
  <c r="BA781" i="1"/>
  <c r="AZ781" i="1"/>
  <c r="AY781" i="1"/>
  <c r="AV781" i="1"/>
  <c r="AU781" i="1"/>
  <c r="AS781" i="1"/>
  <c r="AJ781" i="1"/>
  <c r="AI781" i="1"/>
  <c r="AH781" i="1"/>
  <c r="AG781" i="1"/>
  <c r="BB780" i="1"/>
  <c r="BA780" i="1"/>
  <c r="AZ780" i="1"/>
  <c r="AY780" i="1"/>
  <c r="AV780" i="1"/>
  <c r="AU780" i="1"/>
  <c r="AS780" i="1"/>
  <c r="AJ780" i="1"/>
  <c r="AI780" i="1"/>
  <c r="AH780" i="1"/>
  <c r="AG780" i="1"/>
  <c r="BB779" i="1"/>
  <c r="BA779" i="1"/>
  <c r="AZ779" i="1"/>
  <c r="AY779" i="1"/>
  <c r="AV779" i="1"/>
  <c r="AU779" i="1"/>
  <c r="AS779" i="1"/>
  <c r="AJ779" i="1"/>
  <c r="AI779" i="1"/>
  <c r="AH779" i="1"/>
  <c r="AG779" i="1"/>
  <c r="BB778" i="1"/>
  <c r="BA778" i="1"/>
  <c r="AZ778" i="1"/>
  <c r="AY778" i="1"/>
  <c r="AV778" i="1"/>
  <c r="AU778" i="1"/>
  <c r="AS778" i="1"/>
  <c r="AJ778" i="1"/>
  <c r="AI778" i="1"/>
  <c r="AH778" i="1"/>
  <c r="AG778" i="1"/>
  <c r="BB777" i="1"/>
  <c r="BA777" i="1"/>
  <c r="AZ777" i="1"/>
  <c r="AY777" i="1"/>
  <c r="AV777" i="1"/>
  <c r="AU777" i="1"/>
  <c r="AS777" i="1"/>
  <c r="AJ777" i="1"/>
  <c r="AI777" i="1"/>
  <c r="AH777" i="1"/>
  <c r="AG777" i="1"/>
  <c r="BB776" i="1"/>
  <c r="BA776" i="1"/>
  <c r="AZ776" i="1"/>
  <c r="AY776" i="1"/>
  <c r="AV776" i="1"/>
  <c r="AU776" i="1"/>
  <c r="AS776" i="1"/>
  <c r="AJ776" i="1"/>
  <c r="AI776" i="1"/>
  <c r="AH776" i="1"/>
  <c r="AG776" i="1"/>
  <c r="BB775" i="1"/>
  <c r="BA775" i="1"/>
  <c r="AZ775" i="1"/>
  <c r="AY775" i="1"/>
  <c r="AV775" i="1"/>
  <c r="AU775" i="1"/>
  <c r="AS775" i="1"/>
  <c r="AJ775" i="1"/>
  <c r="AI775" i="1"/>
  <c r="AH775" i="1"/>
  <c r="AG775" i="1"/>
  <c r="BB774" i="1"/>
  <c r="BA774" i="1"/>
  <c r="AZ774" i="1"/>
  <c r="AY774" i="1"/>
  <c r="AV774" i="1"/>
  <c r="AU774" i="1"/>
  <c r="AS774" i="1"/>
  <c r="AJ774" i="1"/>
  <c r="AI774" i="1"/>
  <c r="AH774" i="1"/>
  <c r="AG774" i="1"/>
  <c r="BB773" i="1"/>
  <c r="BA773" i="1"/>
  <c r="AZ773" i="1"/>
  <c r="AY773" i="1"/>
  <c r="AV773" i="1"/>
  <c r="AU773" i="1"/>
  <c r="AS773" i="1"/>
  <c r="AJ773" i="1"/>
  <c r="AI773" i="1"/>
  <c r="AH773" i="1"/>
  <c r="AG773" i="1"/>
  <c r="BB772" i="1"/>
  <c r="BA772" i="1"/>
  <c r="AZ772" i="1"/>
  <c r="AY772" i="1"/>
  <c r="AV772" i="1"/>
  <c r="AU772" i="1"/>
  <c r="AS772" i="1"/>
  <c r="AJ772" i="1"/>
  <c r="AI772" i="1"/>
  <c r="AH772" i="1"/>
  <c r="AG772" i="1"/>
  <c r="BB771" i="1"/>
  <c r="BA771" i="1"/>
  <c r="AZ771" i="1"/>
  <c r="AY771" i="1"/>
  <c r="AV771" i="1"/>
  <c r="AU771" i="1"/>
  <c r="AS771" i="1"/>
  <c r="AJ771" i="1"/>
  <c r="AI771" i="1"/>
  <c r="AH771" i="1"/>
  <c r="AG771" i="1"/>
  <c r="BB770" i="1"/>
  <c r="BA770" i="1"/>
  <c r="AZ770" i="1"/>
  <c r="AY770" i="1"/>
  <c r="AV770" i="1"/>
  <c r="AU770" i="1"/>
  <c r="AS770" i="1"/>
  <c r="AJ770" i="1"/>
  <c r="AI770" i="1"/>
  <c r="AH770" i="1"/>
  <c r="AG770" i="1"/>
  <c r="BA769" i="1"/>
  <c r="BB769" i="1" s="1"/>
  <c r="AZ769" i="1"/>
  <c r="AY769" i="1"/>
  <c r="AV769" i="1"/>
  <c r="AU769" i="1"/>
  <c r="AS769" i="1"/>
  <c r="AJ769" i="1"/>
  <c r="AI769" i="1"/>
  <c r="AH769" i="1"/>
  <c r="AG769" i="1"/>
  <c r="BA768" i="1"/>
  <c r="AZ768" i="1"/>
  <c r="AY768" i="1"/>
  <c r="AV768" i="1"/>
  <c r="AU768" i="1"/>
  <c r="AS768" i="1"/>
  <c r="AJ768" i="1"/>
  <c r="AI768" i="1"/>
  <c r="AH768" i="1"/>
  <c r="AG768" i="1"/>
  <c r="BA767" i="1"/>
  <c r="AZ767" i="1"/>
  <c r="AY767" i="1"/>
  <c r="AV767" i="1"/>
  <c r="AU767" i="1"/>
  <c r="AS767" i="1"/>
  <c r="AJ767" i="1"/>
  <c r="AI767" i="1"/>
  <c r="AH767" i="1"/>
  <c r="AG767" i="1"/>
  <c r="BA766" i="1"/>
  <c r="AZ766" i="1"/>
  <c r="AY766" i="1"/>
  <c r="AV766" i="1"/>
  <c r="AU766" i="1"/>
  <c r="AS766" i="1"/>
  <c r="AJ766" i="1"/>
  <c r="AI766" i="1"/>
  <c r="AH766" i="1"/>
  <c r="AG766" i="1"/>
  <c r="BA765" i="1"/>
  <c r="AZ765" i="1"/>
  <c r="AY765" i="1"/>
  <c r="AV765" i="1"/>
  <c r="AU765" i="1"/>
  <c r="AS765" i="1"/>
  <c r="AJ765" i="1"/>
  <c r="AI765" i="1"/>
  <c r="AH765" i="1"/>
  <c r="AG765" i="1"/>
  <c r="BA764" i="1"/>
  <c r="BB764" i="1" s="1"/>
  <c r="AZ764" i="1"/>
  <c r="AY764" i="1"/>
  <c r="AV764" i="1"/>
  <c r="AU764" i="1"/>
  <c r="AS764" i="1"/>
  <c r="AJ764" i="1"/>
  <c r="AI764" i="1"/>
  <c r="AH764" i="1"/>
  <c r="AG764" i="1"/>
  <c r="BA763" i="1"/>
  <c r="AZ763" i="1"/>
  <c r="AY763" i="1"/>
  <c r="AV763" i="1"/>
  <c r="AU763" i="1"/>
  <c r="AS763" i="1"/>
  <c r="AJ763" i="1"/>
  <c r="AI763" i="1"/>
  <c r="AH763" i="1"/>
  <c r="AG763" i="1"/>
  <c r="BA762" i="1"/>
  <c r="BB762" i="1" s="1"/>
  <c r="AZ762" i="1"/>
  <c r="AY762" i="1"/>
  <c r="AV762" i="1"/>
  <c r="AU762" i="1"/>
  <c r="AS762" i="1"/>
  <c r="AJ762" i="1"/>
  <c r="AI762" i="1"/>
  <c r="AH762" i="1"/>
  <c r="AG762" i="1"/>
  <c r="BA761" i="1"/>
  <c r="AZ761" i="1"/>
  <c r="AY761" i="1"/>
  <c r="AV761" i="1"/>
  <c r="AU761" i="1"/>
  <c r="AS761" i="1"/>
  <c r="AJ761" i="1"/>
  <c r="AI761" i="1"/>
  <c r="AH761" i="1"/>
  <c r="AG761" i="1"/>
  <c r="BA760" i="1"/>
  <c r="AZ760" i="1"/>
  <c r="AY760" i="1"/>
  <c r="AV760" i="1"/>
  <c r="AU760" i="1"/>
  <c r="AS760" i="1"/>
  <c r="AJ760" i="1"/>
  <c r="AI760" i="1"/>
  <c r="AH760" i="1"/>
  <c r="AG760" i="1"/>
  <c r="BA759" i="1"/>
  <c r="BB759" i="1" s="1"/>
  <c r="AZ759" i="1"/>
  <c r="AY759" i="1"/>
  <c r="AV759" i="1"/>
  <c r="AU759" i="1"/>
  <c r="AS759" i="1"/>
  <c r="AJ759" i="1"/>
  <c r="AI759" i="1"/>
  <c r="AH759" i="1"/>
  <c r="AG759" i="1"/>
  <c r="BA758" i="1"/>
  <c r="AZ758" i="1"/>
  <c r="AY758" i="1"/>
  <c r="AV758" i="1"/>
  <c r="AU758" i="1"/>
  <c r="AS758" i="1"/>
  <c r="AJ758" i="1"/>
  <c r="AI758" i="1"/>
  <c r="AH758" i="1"/>
  <c r="AG758" i="1"/>
  <c r="BA757" i="1"/>
  <c r="AZ757" i="1"/>
  <c r="AY757" i="1"/>
  <c r="AV757" i="1"/>
  <c r="AU757" i="1"/>
  <c r="AS757" i="1"/>
  <c r="AJ757" i="1"/>
  <c r="AI757" i="1"/>
  <c r="AH757" i="1"/>
  <c r="AG757" i="1"/>
  <c r="BA756" i="1"/>
  <c r="BB756" i="1" s="1"/>
  <c r="AZ756" i="1"/>
  <c r="AY756" i="1"/>
  <c r="AV756" i="1"/>
  <c r="AU756" i="1"/>
  <c r="AS756" i="1"/>
  <c r="AJ756" i="1"/>
  <c r="AI756" i="1"/>
  <c r="AH756" i="1"/>
  <c r="AG756" i="1"/>
  <c r="BA755" i="1"/>
  <c r="AZ755" i="1"/>
  <c r="AY755" i="1"/>
  <c r="AV755" i="1"/>
  <c r="AU755" i="1"/>
  <c r="AS755" i="1"/>
  <c r="AJ755" i="1"/>
  <c r="AI755" i="1"/>
  <c r="AH755" i="1"/>
  <c r="AG755" i="1"/>
  <c r="BA754" i="1"/>
  <c r="AZ754" i="1"/>
  <c r="AY754" i="1"/>
  <c r="AV754" i="1"/>
  <c r="AU754" i="1"/>
  <c r="AS754" i="1"/>
  <c r="AJ754" i="1"/>
  <c r="AI754" i="1"/>
  <c r="AH754" i="1"/>
  <c r="AG754" i="1"/>
  <c r="BA753" i="1"/>
  <c r="AZ753" i="1"/>
  <c r="AY753" i="1"/>
  <c r="AV753" i="1"/>
  <c r="AU753" i="1"/>
  <c r="AS753" i="1"/>
  <c r="AJ753" i="1"/>
  <c r="AI753" i="1"/>
  <c r="AH753" i="1"/>
  <c r="AG753" i="1"/>
  <c r="BA752" i="1"/>
  <c r="BB752" i="1" s="1"/>
  <c r="AZ752" i="1"/>
  <c r="AY752" i="1"/>
  <c r="AV752" i="1"/>
  <c r="AU752" i="1"/>
  <c r="AS752" i="1"/>
  <c r="AJ752" i="1"/>
  <c r="AI752" i="1"/>
  <c r="AH752" i="1"/>
  <c r="AG752" i="1"/>
  <c r="BA751" i="1"/>
  <c r="BB751" i="1" s="1"/>
  <c r="AZ751" i="1"/>
  <c r="AY751" i="1"/>
  <c r="AV751" i="1"/>
  <c r="AU751" i="1"/>
  <c r="AS751" i="1"/>
  <c r="AJ751" i="1"/>
  <c r="AI751" i="1"/>
  <c r="AH751" i="1"/>
  <c r="AG751" i="1"/>
  <c r="BA750" i="1"/>
  <c r="AZ750" i="1"/>
  <c r="AY750" i="1"/>
  <c r="AV750" i="1"/>
  <c r="AU750" i="1"/>
  <c r="AS750" i="1"/>
  <c r="AJ750" i="1"/>
  <c r="AI750" i="1"/>
  <c r="AH750" i="1"/>
  <c r="AG750" i="1"/>
  <c r="BA749" i="1"/>
  <c r="AZ749" i="1"/>
  <c r="AY749" i="1"/>
  <c r="AV749" i="1"/>
  <c r="AU749" i="1"/>
  <c r="AS749" i="1"/>
  <c r="AJ749" i="1"/>
  <c r="AI749" i="1"/>
  <c r="AH749" i="1"/>
  <c r="AG749" i="1"/>
  <c r="BB748" i="1"/>
  <c r="BA748" i="1"/>
  <c r="AZ748" i="1"/>
  <c r="AY748" i="1"/>
  <c r="AV748" i="1"/>
  <c r="AU748" i="1"/>
  <c r="AS748" i="1"/>
  <c r="AJ748" i="1"/>
  <c r="AI748" i="1"/>
  <c r="AH748" i="1"/>
  <c r="AG748" i="1"/>
  <c r="BB747" i="1"/>
  <c r="BA747" i="1"/>
  <c r="AZ747" i="1"/>
  <c r="AY747" i="1"/>
  <c r="AV747" i="1"/>
  <c r="AU747" i="1"/>
  <c r="AS747" i="1"/>
  <c r="AJ747" i="1"/>
  <c r="AI747" i="1"/>
  <c r="AH747" i="1"/>
  <c r="AG747" i="1"/>
  <c r="BB746" i="1"/>
  <c r="BA746" i="1"/>
  <c r="AZ746" i="1"/>
  <c r="AY746" i="1"/>
  <c r="AV746" i="1"/>
  <c r="AU746" i="1"/>
  <c r="AS746" i="1"/>
  <c r="AJ746" i="1"/>
  <c r="AI746" i="1"/>
  <c r="AH746" i="1"/>
  <c r="AG746" i="1"/>
  <c r="BB745" i="1"/>
  <c r="BA745" i="1"/>
  <c r="AZ745" i="1"/>
  <c r="AY745" i="1"/>
  <c r="AV745" i="1"/>
  <c r="AU745" i="1"/>
  <c r="AS745" i="1"/>
  <c r="AJ745" i="1"/>
  <c r="AI745" i="1"/>
  <c r="AH745" i="1"/>
  <c r="AG745" i="1"/>
  <c r="BB744" i="1"/>
  <c r="BA744" i="1"/>
  <c r="AZ744" i="1"/>
  <c r="AY744" i="1"/>
  <c r="AV744" i="1"/>
  <c r="AU744" i="1"/>
  <c r="AS744" i="1"/>
  <c r="AJ744" i="1"/>
  <c r="AI744" i="1"/>
  <c r="AH744" i="1"/>
  <c r="AG744" i="1"/>
  <c r="BB743" i="1"/>
  <c r="BA743" i="1"/>
  <c r="AZ743" i="1"/>
  <c r="AY743" i="1"/>
  <c r="AV743" i="1"/>
  <c r="AU743" i="1"/>
  <c r="AS743" i="1"/>
  <c r="AJ743" i="1"/>
  <c r="AI743" i="1"/>
  <c r="AH743" i="1"/>
  <c r="AG743" i="1"/>
  <c r="BB742" i="1"/>
  <c r="BA742" i="1"/>
  <c r="AZ742" i="1"/>
  <c r="AY742" i="1"/>
  <c r="AV742" i="1"/>
  <c r="AU742" i="1"/>
  <c r="AS742" i="1"/>
  <c r="AJ742" i="1"/>
  <c r="AI742" i="1"/>
  <c r="AH742" i="1"/>
  <c r="AG742" i="1"/>
  <c r="BB754" i="1" l="1"/>
  <c r="BB767" i="1"/>
  <c r="BB787" i="1"/>
  <c r="BB786" i="1"/>
  <c r="BB792" i="1"/>
  <c r="BB758" i="1"/>
  <c r="BB765" i="1"/>
  <c r="BB753" i="1"/>
  <c r="BB757" i="1"/>
  <c r="BB760" i="1"/>
  <c r="BB766" i="1"/>
  <c r="BB750" i="1"/>
  <c r="BB763" i="1"/>
  <c r="BB790" i="1"/>
  <c r="BB749" i="1"/>
  <c r="BB755" i="1"/>
  <c r="BB761" i="1"/>
  <c r="BB768" i="1"/>
</calcChain>
</file>

<file path=xl/sharedStrings.xml><?xml version="1.0" encoding="utf-8"?>
<sst xmlns="http://schemas.openxmlformats.org/spreadsheetml/2006/main" count="20682" uniqueCount="2280">
  <si>
    <t>coligada_odonto</t>
  </si>
  <si>
    <t>filial_odonto</t>
  </si>
  <si>
    <t>tipo_solicitacao</t>
  </si>
  <si>
    <t>Data_Criacao</t>
  </si>
  <si>
    <t>DATA_PAGAMENTO</t>
  </si>
  <si>
    <t>ORCAMENTO_REAL</t>
  </si>
  <si>
    <t>Status_OdontoSig</t>
  </si>
  <si>
    <t>PG</t>
  </si>
  <si>
    <t>Nome_Paciente</t>
  </si>
  <si>
    <t>Coordenador</t>
  </si>
  <si>
    <t>Aluno_Associado</t>
  </si>
  <si>
    <t>codigo_turma</t>
  </si>
  <si>
    <t>Perfil_Tratamento</t>
  </si>
  <si>
    <t>Perfil_Tratamento_Real</t>
  </si>
  <si>
    <t>codigo_produto</t>
  </si>
  <si>
    <t>descricao_produto</t>
  </si>
  <si>
    <t>quantidade_produto</t>
  </si>
  <si>
    <t>Venda_unitario</t>
  </si>
  <si>
    <t>Total_venda</t>
  </si>
  <si>
    <t>Total_Custo</t>
  </si>
  <si>
    <t>Data_Ultima_Agenda</t>
  </si>
  <si>
    <t>Obs_Taxa_2110</t>
  </si>
  <si>
    <t>ultimo_preenchimento</t>
  </si>
  <si>
    <t>Procedimento</t>
  </si>
  <si>
    <t>tipo_item</t>
  </si>
  <si>
    <t>movimentacao</t>
  </si>
  <si>
    <t>termo_interesse</t>
  </si>
  <si>
    <t>termo_compromisso</t>
  </si>
  <si>
    <t>Nome_Especialidade</t>
  </si>
  <si>
    <t>Fornecedor</t>
  </si>
  <si>
    <t>consignado</t>
  </si>
  <si>
    <t>cod_produto_totvs</t>
  </si>
  <si>
    <t>Evolução Clinica Fim de Tratamento</t>
  </si>
  <si>
    <t>Termo Conclusão de Turma</t>
  </si>
  <si>
    <t>Tem Panorâmica Final</t>
  </si>
  <si>
    <t>Tem Termo Conclusão Coordenador</t>
  </si>
  <si>
    <t>valor_custo_unitario</t>
  </si>
  <si>
    <t>data_ultima_agenda_coordenador</t>
  </si>
  <si>
    <t>filtro_status_tratamento</t>
  </si>
  <si>
    <t>data_recebimento_laboratorio</t>
  </si>
  <si>
    <t>protese_etapa_atual</t>
  </si>
  <si>
    <t>protese_historico</t>
  </si>
  <si>
    <t>protese_laboratorio</t>
  </si>
  <si>
    <t>qtd_solicitacoes_protese</t>
  </si>
  <si>
    <t>recebido_do_laboratorio</t>
  </si>
  <si>
    <t>status_implante</t>
  </si>
  <si>
    <t>pagou</t>
  </si>
  <si>
    <t>servico_realizado</t>
  </si>
  <si>
    <t>quantidade_devolvida</t>
  </si>
  <si>
    <t>data_encerramento_protese</t>
  </si>
  <si>
    <t>Último Movimento</t>
  </si>
  <si>
    <t>Prótese – Liberado para o Financeiro</t>
  </si>
  <si>
    <t>Prótese – Pago</t>
  </si>
  <si>
    <t>Prótese – Status Financeiro</t>
  </si>
  <si>
    <t>Orçamento</t>
  </si>
  <si>
    <t>2373639</t>
  </si>
  <si>
    <t>faturado</t>
  </si>
  <si>
    <t>85433</t>
  </si>
  <si>
    <t>JOANA RODRIGUES DE SOUSA</t>
  </si>
  <si>
    <t>Fernando Mendes Morelli</t>
  </si>
  <si>
    <t>Hany Matos Nunes Coimbra</t>
  </si>
  <si>
    <t>E8173/25B</t>
  </si>
  <si>
    <t>IMPLANTE COM TOMOGRAFIA</t>
  </si>
  <si>
    <t>IMPLANTE</t>
  </si>
  <si>
    <t>16955</t>
  </si>
  <si>
    <t>BONEFILL MIX [0,10- 1,50 MM] | FINO/MÉDIO |</t>
  </si>
  <si>
    <t>2026-10-07 09:55:02 -&gt; Avaliação CLINICA e tomografica da região dos elementos 14 (raiz residual) e 15. Planejamento dos implantes.</t>
  </si>
  <si>
    <t>Não</t>
  </si>
  <si>
    <t>Produto</t>
  </si>
  <si>
    <t>2.1.10</t>
  </si>
  <si>
    <t>Sim</t>
  </si>
  <si>
    <t>Implantodontia</t>
  </si>
  <si>
    <t>BIONNOVATION-BIONNOVATION PRODUTOS BIOMEDICOS LTDA</t>
  </si>
  <si>
    <t>01.11.06.00007</t>
  </si>
  <si>
    <t>Sem prótese</t>
  </si>
  <si>
    <t>118.300</t>
  </si>
  <si>
    <t>CILIN.TITANIO PILAR 4.8 ANTIR.NEO</t>
  </si>
  <si>
    <t>JJGC INDÚSTRIA E COMÉRCIO DE MATERIAIS - NEODENT</t>
  </si>
  <si>
    <t>01.11.17.01805</t>
  </si>
  <si>
    <t>140.946</t>
  </si>
  <si>
    <t>IMPLANTE HELIX GM 3.5X13 ACQUA</t>
  </si>
  <si>
    <t>01.11.17.00862</t>
  </si>
  <si>
    <t>01.12.01.00001</t>
  </si>
  <si>
    <t>KIT CIRURGICO SLM- ENXERTO E PROTOCOLO</t>
  </si>
  <si>
    <t>MATERIAIS DIVERSOS E KITS PERSONALIZADOS</t>
  </si>
  <si>
    <t>117.022</t>
  </si>
  <si>
    <t>PARAFUSO DE COBERTURA GM ALT. 2</t>
  </si>
  <si>
    <t>01.11.17.00883</t>
  </si>
  <si>
    <t>115.271</t>
  </si>
  <si>
    <t>PILAR GM 4.8 PARAF REMOVIVEL ALT 2.5</t>
  </si>
  <si>
    <t>01.11.17.01073</t>
  </si>
  <si>
    <t>2374491</t>
  </si>
  <si>
    <t>159092</t>
  </si>
  <si>
    <t>ZEILDE DE ARAUJO ROCHA BATISTA</t>
  </si>
  <si>
    <t>Guilherme da Gama Ramos</t>
  </si>
  <si>
    <t>Kariny Teixeira de Melo</t>
  </si>
  <si>
    <t>E8829/26</t>
  </si>
  <si>
    <t>PRÓTESE</t>
  </si>
  <si>
    <t>01.14.12.00672</t>
  </si>
  <si>
    <t>COROA EM DISSILICATO DE LITIO</t>
  </si>
  <si>
    <t>2026-10-06 14:42:53 -&gt; APÓS AVALIAÇÃO DA TOMOGRAFIA,VERIFIQUEI QUE O ELEMENTO 24 APRESENTA ESTRUTURA DENTARIA REMANESCENTE SUFICIENTE PARA REABILITAÇÃO  PROTETICA COM COROA. DIATE DISSO ENCAMINHEI A PACIENTE PARA PROTESE PARA AVALIAÇÃO E CONFECÇÃO DE COROA NO ELEMENTO 24.</t>
  </si>
  <si>
    <t>Prótese Dentária</t>
  </si>
  <si>
    <t>CONEXÃO-CONEXÃO SISTEMA DE PRÓTESES</t>
  </si>
  <si>
    <t>2373401</t>
  </si>
  <si>
    <t>329496</t>
  </si>
  <si>
    <t>ROTHIER SOARES BENTHER FILHO</t>
  </si>
  <si>
    <t>E8757/26B</t>
  </si>
  <si>
    <t>30880</t>
  </si>
  <si>
    <t>ANALOGO D/G MINI CONICO R</t>
  </si>
  <si>
    <t>2026-10-07 18:05:53 -&gt; FOI FEITA AVALIAÇÃO E PLANEJAMENTO PARA PROTOCOLO SUPERIOR E IMPLANTES UNITÁRIOS INFERIORES. FOTOGRAFIAS EXTRA E INTRABUCAIS E MOLDAGEM DAS DUAS ARCADAS</t>
  </si>
  <si>
    <t>IMPLACIL DE BORTOLI</t>
  </si>
  <si>
    <t>01.11.16.01139</t>
  </si>
  <si>
    <t>ENVIADO PARA LABORATÓRIO</t>
  </si>
  <si>
    <t>CLEAN SERV. DE PROT. ODONT. LTDA</t>
  </si>
  <si>
    <t>Pago, peça não recebida</t>
  </si>
  <si>
    <t>208994</t>
  </si>
  <si>
    <t>CICATRIZADOR UNII CONE MORSE 4.5X3.5</t>
  </si>
  <si>
    <t>01.11.16.00202</t>
  </si>
  <si>
    <t>17749</t>
  </si>
  <si>
    <t>COIFA PLASTICA MINI CONICO L11</t>
  </si>
  <si>
    <t>01.11.16.00043</t>
  </si>
  <si>
    <t>01.14.12.00231</t>
  </si>
  <si>
    <t>GUIA CIRÚRGICO</t>
  </si>
  <si>
    <t>22276</t>
  </si>
  <si>
    <t>IMPLANTE UN III CONE MORSE AR 3.5X09</t>
  </si>
  <si>
    <t>01.11.16.00441</t>
  </si>
  <si>
    <t>22278</t>
  </si>
  <si>
    <t>IMPLANTE UN III CONE MORSE AR 3.5X11</t>
  </si>
  <si>
    <t>01.11.16.00442</t>
  </si>
  <si>
    <t>22280</t>
  </si>
  <si>
    <t>IMPLANTE UN III CONE MORSE AR 3.5X13</t>
  </si>
  <si>
    <t>01.11.16.00443</t>
  </si>
  <si>
    <t>222860</t>
  </si>
  <si>
    <t>IMPLANTE UN III CONE MORSE AR 4.0X07</t>
  </si>
  <si>
    <t>01.11.16.00446</t>
  </si>
  <si>
    <t>24259</t>
  </si>
  <si>
    <t>MINI CONICO ANGULADO UNII CONE MORSE 4.8X3.5 17°</t>
  </si>
  <si>
    <t>01.11.16.00689</t>
  </si>
  <si>
    <t>17336</t>
  </si>
  <si>
    <t>MINI CONICO UNII CONE MORSE 4.8X3.5</t>
  </si>
  <si>
    <t>01.11.16.00022</t>
  </si>
  <si>
    <t>01.14.12.00686</t>
  </si>
  <si>
    <t>PROTOCOLO (SOLICITAR CILINDROS E PARAFUSOS A PARTE)</t>
  </si>
  <si>
    <t>18548</t>
  </si>
  <si>
    <t>TAMPA MINI CONICO 4.8</t>
  </si>
  <si>
    <t>01.11.16.00066</t>
  </si>
  <si>
    <t>13512</t>
  </si>
  <si>
    <t>TRANSFER MINI CONICO MOLDEIRA ABERTA</t>
  </si>
  <si>
    <t>01.11.16.00002</t>
  </si>
  <si>
    <t>2373278</t>
  </si>
  <si>
    <t>331539</t>
  </si>
  <si>
    <t>Maria Rodrigues de Almeida</t>
  </si>
  <si>
    <t>2026-10-07 18:19:21 -&gt; ATENDIMENTO REALIZADO PELA ALUNA MONIQUE IMPLANTE 8757
FOI REALIZADO ORÇAMENTO DOS IMPLANTES NAS REGIÕES DO 12 E 13 + ENXERTO ÓSSEO E INSTALAÇÃO DE UMA PPA, PACIENTE PAGOU O ORÇAMENTO E REALIZAMO A MOLDAGEM PARA A CONFECÇÃO DA PPA E ENVIAMOS PARA O LABORATÓRIO, PACIENTE IRÁ RETORAR PARA A PROVA DOS DENTES</t>
  </si>
  <si>
    <t>118.305</t>
  </si>
  <si>
    <t>CILIN.PROVISORIO MUN.UNIV.CLICK 3.3X6</t>
  </si>
  <si>
    <t>01.11.17.00265</t>
  </si>
  <si>
    <t>114.834</t>
  </si>
  <si>
    <t>MUNHAO UNIV GM PARAF REM 3.3X6X2.5</t>
  </si>
  <si>
    <t>01.11.17.01988</t>
  </si>
  <si>
    <t>01.14.12.00678</t>
  </si>
  <si>
    <t>PROTESE PARCIAL REMOVIVEL PROVISORIA</t>
  </si>
  <si>
    <t>2373422</t>
  </si>
  <si>
    <t>332606</t>
  </si>
  <si>
    <t>LAURINETE NEVES ALVES</t>
  </si>
  <si>
    <t>Alexandre Martins da Silva</t>
  </si>
  <si>
    <t>106.209</t>
  </si>
  <si>
    <t>CICATRIZADOR GM 3.3X2.5</t>
  </si>
  <si>
    <t>2026-10-07 06:01:27 -&gt; Foi realizado orçamento e agendamento para instalação de 4 implantes.</t>
  </si>
  <si>
    <t>01.11.17.01523</t>
  </si>
  <si>
    <t>106.215</t>
  </si>
  <si>
    <t>CICATRIZADOR GM 4.5X2.5</t>
  </si>
  <si>
    <t>01.11.17.00069</t>
  </si>
  <si>
    <t>140.977</t>
  </si>
  <si>
    <t>IMPLANTE HELIX GM 3.75X10 ACQUA</t>
  </si>
  <si>
    <t>01.11.17.00944</t>
  </si>
  <si>
    <t>140.976</t>
  </si>
  <si>
    <t>IMPLANTE HELIX GM 3.75X8 ACQUA</t>
  </si>
  <si>
    <t>01.11.17.01095</t>
  </si>
  <si>
    <t>2373317</t>
  </si>
  <si>
    <t>333486</t>
  </si>
  <si>
    <t>Nathália Jobson Pereira de Freitas</t>
  </si>
  <si>
    <t>URGÊNCIA</t>
  </si>
  <si>
    <t>TMAMU</t>
  </si>
  <si>
    <t>ABUT TRANSF MOL ABER MORSE</t>
  </si>
  <si>
    <t>2026-10-07 06:11:18 -&gt; Orçamento refeito com toda parte CIRÚRGICA do elemento 26. Foram realizados todos os exames.</t>
  </si>
  <si>
    <t>S.I.N IMPLANT SYSTEM</t>
  </si>
  <si>
    <t>01.11.26.01640</t>
  </si>
  <si>
    <t>ANMU</t>
  </si>
  <si>
    <t>ANALOGO CONE MORSE</t>
  </si>
  <si>
    <t>01.11.26.00258</t>
  </si>
  <si>
    <t>ICMU 2004</t>
  </si>
  <si>
    <t>INTERFACE CM UNITITE 2.0X4MM</t>
  </si>
  <si>
    <t>01.11.26.00874</t>
  </si>
  <si>
    <t>2373382</t>
  </si>
  <si>
    <t>2374579</t>
  </si>
  <si>
    <t>352988</t>
  </si>
  <si>
    <t>iARA LEITE PEREIRA</t>
  </si>
  <si>
    <t>01.14.12.00673</t>
  </si>
  <si>
    <t>INLAY/ONLAY EM DISSILICATO DE LITIO</t>
  </si>
  <si>
    <t>2373704</t>
  </si>
  <si>
    <t>354621</t>
  </si>
  <si>
    <t>Lourenço Sergio Martinez Junior</t>
  </si>
  <si>
    <t>2026-10-07 17:56:14 -&gt; avaliação + orçamento para implante na região do 16 e 36 + orientações pré-operatorias + encaminhado para fincanceiro. pct tem indicação para realizar reabilitação com implantes em outras areas (27/47), porem não tem interesse no momento. foi realizado moldagem para confecção do guia cirurgico.</t>
  </si>
  <si>
    <t>IRO LAB</t>
  </si>
  <si>
    <t>106.216</t>
  </si>
  <si>
    <t>CICATRIZADOR GM 4.5X3.5</t>
  </si>
  <si>
    <t>01.11.17.00070</t>
  </si>
  <si>
    <t>140.978</t>
  </si>
  <si>
    <t>IMPLANTE HELIX GM 3.75X11.5 ACQUA</t>
  </si>
  <si>
    <t>01.11.17.00951</t>
  </si>
  <si>
    <t>01.14.04.00001</t>
  </si>
  <si>
    <t>KIT PRF</t>
  </si>
  <si>
    <t>SERVIÇOS UNICOS TERCEIRIZADOS</t>
  </si>
  <si>
    <t>2374506</t>
  </si>
  <si>
    <t>355093</t>
  </si>
  <si>
    <t>valdereza nunes de souza</t>
  </si>
  <si>
    <t>2026-10-08 12:19:10 -&gt; paciente chegou com a queixa que queria realizar o pino + coroa no elemento 35 + placa de bruxismo. está em tratamento PARA realizar uma exo + implante com outro profissional e não explicou se era na SLM.</t>
  </si>
  <si>
    <t>E7002/23B</t>
  </si>
  <si>
    <t>709.011</t>
  </si>
  <si>
    <t>PARAFUSO P/ MINI ABUTMENT</t>
  </si>
  <si>
    <t>INTRAOSS - WARIE INDUSTRIAL LTDA</t>
  </si>
  <si>
    <t>01.11.01.00238</t>
  </si>
  <si>
    <t>237720</t>
  </si>
  <si>
    <t>EDIVALDO BARROS CAVALCANTE</t>
  </si>
  <si>
    <t>E8757/26</t>
  </si>
  <si>
    <t>704.186</t>
  </si>
  <si>
    <t>CICATRIZADOR CMN Ø4.5 X 3.5MM</t>
  </si>
  <si>
    <t>01.11.01.00212</t>
  </si>
  <si>
    <t>01.12.01.00002</t>
  </si>
  <si>
    <t>KIT CIRURGICO SLM- IMPLANTODONTIA</t>
  </si>
  <si>
    <t>Adriana Sicupira Peregrino Braga Sales</t>
  </si>
  <si>
    <t>E8221/25B</t>
  </si>
  <si>
    <t>HARMONIZAÇÃO OROFACIAL</t>
  </si>
  <si>
    <t>01.11.18.00128</t>
  </si>
  <si>
    <t>KIT LIPOASPIRACAO MECANICA DE PAPADA</t>
  </si>
  <si>
    <t>Harmonização Orofacial</t>
  </si>
  <si>
    <t>MATERIAIS HARMONIZAÇÃO OROFACIAL</t>
  </si>
  <si>
    <t>273902</t>
  </si>
  <si>
    <t>FRANCISCA MARIA DA SILVA</t>
  </si>
  <si>
    <t>610</t>
  </si>
  <si>
    <t>MEMBRANA DE COLÁGENO SURGIDRY FILME - UNITÁRIA 2X3X0,03CM </t>
  </si>
  <si>
    <t>Troca de itens em relação ao planejamento anterior.</t>
  </si>
  <si>
    <t>OSSEOCON BIOMATERIAIS PARA COMERCIO E INDUSTRIA LTDA</t>
  </si>
  <si>
    <t>01.11.21.00004</t>
  </si>
  <si>
    <t>337700</t>
  </si>
  <si>
    <t>CLEIDE PEREIRA DA SILVA</t>
  </si>
  <si>
    <t>Gabriel Moreira de Castro</t>
  </si>
  <si>
    <t>704.145</t>
  </si>
  <si>
    <t>CICATRIZADOR CMS Ø3.5 X 1MM</t>
  </si>
  <si>
    <t>2026-10-03 12:20:20 -&gt; realizado acompanhamento e seguimento da coroa superior dente 21. realizado reabertura do cicatrizador, medida de transmucoso, instalado pilar + cilindro sobrepilar titaoss 4.5mm e provisório em acrilico. feito ajustes e reagendada para moldagem de coroa definitiva.</t>
  </si>
  <si>
    <t>01.11.01.00205</t>
  </si>
  <si>
    <t>701.010</t>
  </si>
  <si>
    <t>IMPLANTE TITAOSS MAX CMC Ø3.75 X 7MM</t>
  </si>
  <si>
    <t>01.11.01.00031</t>
  </si>
  <si>
    <t>341196</t>
  </si>
  <si>
    <t>IOLANDA CASTELO BRANCO GOMES</t>
  </si>
  <si>
    <t>2026-10-03 16:10:02 -&gt; Triagem, anamnese e rx periapical</t>
  </si>
  <si>
    <t>342060</t>
  </si>
  <si>
    <t>LUENIRA FELSKE GABRIEL</t>
  </si>
  <si>
    <t>ALDENALDO PEREIRA DOS SANTOS FILHO</t>
  </si>
  <si>
    <t>Grazielli Maria Telles</t>
  </si>
  <si>
    <t>118.303</t>
  </si>
  <si>
    <t>CILIN.COCR MINI PILAR CON.4.1 NEO</t>
  </si>
  <si>
    <t>01.11.17.00218</t>
  </si>
  <si>
    <t>106.268</t>
  </si>
  <si>
    <t>CILINDRO DE PROTECAO MINI PILAR CONI NEO</t>
  </si>
  <si>
    <t>01.11.17.00322</t>
  </si>
  <si>
    <t>140.979</t>
  </si>
  <si>
    <t>IMPLANTE HELIX GM 3.75X13 ACQUA</t>
  </si>
  <si>
    <t>01.11.17.00988</t>
  </si>
  <si>
    <t>Bianca de Almeida Azevedo</t>
  </si>
  <si>
    <t>CIMU 4525</t>
  </si>
  <si>
    <t>CICATRIZADOR MORSE Ø4.5X2.5MM</t>
  </si>
  <si>
    <t>01.11.26.00444</t>
  </si>
  <si>
    <t>01.12.01.00005</t>
  </si>
  <si>
    <t>KIT CIRURGICO SLM- REABERTURA</t>
  </si>
  <si>
    <t>345060</t>
  </si>
  <si>
    <t>DOMINGOS WILLIAM SILVA DOS SANTOS</t>
  </si>
  <si>
    <t>Andre Vinnicius Costa Santana</t>
  </si>
  <si>
    <t>140.943</t>
  </si>
  <si>
    <t>IMPLANTE HELIX GM 3.5X8 ACQUA</t>
  </si>
  <si>
    <t>01.11.17.00896</t>
  </si>
  <si>
    <t>Heric Murillo Ribeiro Barbosa</t>
  </si>
  <si>
    <t>01.14.12.00679</t>
  </si>
  <si>
    <t>PROTESE PARCIAL REMOVIVEL</t>
  </si>
  <si>
    <t>Pago, peça recebida, serviço não registrado</t>
  </si>
  <si>
    <t>101.020</t>
  </si>
  <si>
    <t>ANALOGO EM TITANIO DO MINI PILAR CONICO 4.1</t>
  </si>
  <si>
    <t>01.11.17.00021</t>
  </si>
  <si>
    <t>115.276</t>
  </si>
  <si>
    <t>MINI PILAR CONICO GM 17 PARAFUSO REM 2.5</t>
  </si>
  <si>
    <t>01.11.17.00053</t>
  </si>
  <si>
    <t>115.245</t>
  </si>
  <si>
    <t>MINI PILAR CONICO GM ALT. 2.5</t>
  </si>
  <si>
    <t>01.11.17.00180</t>
  </si>
  <si>
    <t>TMA 4800</t>
  </si>
  <si>
    <t>TRANSFER. MOLDEIRA ABERTA P/ MINI ABUT.</t>
  </si>
  <si>
    <t>01.11.01.00296</t>
  </si>
  <si>
    <t>347139</t>
  </si>
  <si>
    <t>E8729/26</t>
  </si>
  <si>
    <t>01.12.03.00032</t>
  </si>
  <si>
    <t>KIT TOXINA BOTULINICA</t>
  </si>
  <si>
    <t>01.12.03.00030</t>
  </si>
  <si>
    <t>KIT FIOS OROFACIAIS</t>
  </si>
  <si>
    <t>01.11.18.00080</t>
  </si>
  <si>
    <t>TOXINA BOTULINICA-BOTOX 100U</t>
  </si>
  <si>
    <t>1800199</t>
  </si>
  <si>
    <t>nota_emitida</t>
  </si>
  <si>
    <t>92110</t>
  </si>
  <si>
    <t>MARISTELA DINÉIA BONI</t>
  </si>
  <si>
    <t>Rodrigo Nogueira Aucélio</t>
  </si>
  <si>
    <t>E6721/22B</t>
  </si>
  <si>
    <t>ENDODONTIA</t>
  </si>
  <si>
    <t>01.14.16.00001</t>
  </si>
  <si>
    <t>TRATAMENTO ENDODONTICO</t>
  </si>
  <si>
    <t>2026-09-09 11:59:43 -&gt; Foi realizada a limpeza da coroa sobre IMPLANTE do 24.</t>
  </si>
  <si>
    <t>Endodontia</t>
  </si>
  <si>
    <t>Sem histórico de prótese</t>
  </si>
  <si>
    <t>1800332</t>
  </si>
  <si>
    <t>293457</t>
  </si>
  <si>
    <t>guilherme gamul cardoso de souza</t>
  </si>
  <si>
    <t>Adrielly Araújo Rodrigues</t>
  </si>
  <si>
    <t>2024-08-02 17:28:24 -&gt; ANESTESIA COM MEPIVACAÍNA, ISOLAMENTO GRAMPO 200, REABERTURA COM BROCAS 1013 E 2082, IRRIGAÇÃO, EXPLORAÇÃO DOS CONDUTOS COM LIMA 10 E 25. ODONTOMETRIA, REINSTRUMENTAÇÃO COM LIMA PRODESIGN S 25.06, AUMENTO DA LIMAGEM DO CONDUTO PALATINO ATÉ LIMA 40.05 (LOGIC). TESTE DO CONE, PROTOCOLO DE IRRIGAÇÃO E AGITAÇÃO COM EASY CLEAN (HIPOCLORITO E EDTA POR 20S, 3X CADA CONDUTO), NEUTRALIZAÇÃO C/ SORO, SECAGEM COM CONE DE PAPEL 35.05 (EASY) ESTÉRIL. OBTURAÇÃO COM AH PLUS, BLINDAGEM DOS CONDUTOS COM RESINA FLOW, FECHAMENTO COM BOLINHA DE ALGODÃO E RESTAURADOR PROVISÓRIO. MV: 19,5MM P: 21MM MV2: 19MM DV:19MM. DENTE 26.</t>
  </si>
  <si>
    <t>1800466</t>
  </si>
  <si>
    <t>288893</t>
  </si>
  <si>
    <t>ivonete rabelo chagas guimaraes</t>
  </si>
  <si>
    <t>Natasha Serra Penafort Santana</t>
  </si>
  <si>
    <t>2024-01-12 14:41:19 -&gt; endo 16
anestesia, acesso, isolamento, preparo cervical, odontometria p 18 d: 17 m: 16. patencia, instrumentação com ultmate, obturação com sealer 26, restauração provisoria</t>
  </si>
  <si>
    <t>1801134</t>
  </si>
  <si>
    <t>293812</t>
  </si>
  <si>
    <t>THELMA CECILIA GALDINO BITTENCOURT</t>
  </si>
  <si>
    <t>ISABELLE MELO DA ANUNCIAÇÃO</t>
  </si>
  <si>
    <t>2024-02-05 12:40:25 -&gt; dente 26: anestesia nervo alveolar superior posterior com lidocaína 2%; ISOLAMENTO ABSOLUTO GRAMO 202. REMOÇÃO DA RESTAURAÇÃO PROVISÓRIA. REMOÇÃO DA Medicação intracanal. reinstrumentação dos condutos. ODONTOMETRIA VESTIBULAR 20MM DISTAL 19MM PALATINO 20MM. PROTOCOLO DE IRRIGAÇÃO 3X 20SEG HIPOCLORITO-SORO-3X 20SEG EDTA-SORO- HIPOCLORITO- SORO FINAL. SECAGEM DO CANAL. prova do cone+ radiografia. obturação com sealer 26+ radiografia. limpeza da câmara pulapar. RESTAURAÇÃO RPOVISÓRIA+AJUSTE OCLUSAL. radiografia final. SISTEMA PRODESIGN S AMARELA 25/08 950RPM 4N VERMELHA 25/01 350RPM 0,5N AZUL 25/06 350RPM 1,5N.</t>
  </si>
  <si>
    <t>1804793</t>
  </si>
  <si>
    <t>290040</t>
  </si>
  <si>
    <t>JULIA MARIA DA SILVA</t>
  </si>
  <si>
    <t>Sandra Lúcia Andrade de Freitas</t>
  </si>
  <si>
    <t>Rayane de Oliveira Fragoso</t>
  </si>
  <si>
    <t>E6738/22</t>
  </si>
  <si>
    <t>01.14.12.00081</t>
  </si>
  <si>
    <t>COPING/MUNHÃO METÁLICO FUNDIDO</t>
  </si>
  <si>
    <t>2026-07-04 14:55:43 -&gt; Foram realizadas as trocas das borrachas de retenção e dos o-rings da prótese overdenture. Procedimento executado sem intercorrências. Ao final, foram verificadas a adaptação, retenção e estabilidade da prótese, com orientações ao paciente quanto aos cuidados de higiene e manutenção.</t>
  </si>
  <si>
    <t>01.14.12.00583</t>
  </si>
  <si>
    <t>COROA METALOCERAMICA UNITARIA</t>
  </si>
  <si>
    <t>1808903</t>
  </si>
  <si>
    <t>284665</t>
  </si>
  <si>
    <t>AMOM FONSÊCA MELO</t>
  </si>
  <si>
    <t>Nilton Silva dos Santos</t>
  </si>
  <si>
    <t>C7299/23</t>
  </si>
  <si>
    <t>2024-01-27 13:54:23 -&gt; restauração provisória e obturação final do canal. canal vestibular obturado em 18mm e canal palatino em 20mm.</t>
  </si>
  <si>
    <t>1809266</t>
  </si>
  <si>
    <t>292395</t>
  </si>
  <si>
    <t>romulo felix da silva</t>
  </si>
  <si>
    <t>Jackeline Pontes Palazzo</t>
  </si>
  <si>
    <t>2024-05-11 10:23:28 -&gt; PROFESSOR RODRIGO FINALIZOU O CANAL JUNTAMENTE COM A ALUNA , FOI REALIZADO PROTOCOLO DE IRRIGAÇÃO , ODONTOMETRIA E OBTURAÇÃO COM BIO C SEALER, PACIENTE DE ALTA DA ENDODONTIA , PACIENTE CIENTE QUE DEVERA BUSCAR FACULDADE OU CLINICA EXTERNA PARA RESTAURAÇÃO DEFINITIVA</t>
  </si>
  <si>
    <t>1809606</t>
  </si>
  <si>
    <t>184041</t>
  </si>
  <si>
    <t>ROSELITA RODRIGUES DE OLIVEIRA</t>
  </si>
  <si>
    <t>Mariana Parente Freire</t>
  </si>
  <si>
    <t>2024-01-27 17:50:17 -&gt; Paciente foi associada à outrA colega de curso (MARIANA FREIRE) QUE CONDUZIRÁ O TRATAMENTO ENDODÔNTICO DO DENTE 34 HOJE (27/01/24)</t>
  </si>
  <si>
    <t>1822144</t>
  </si>
  <si>
    <t>280561</t>
  </si>
  <si>
    <t>MARIA LUIZA DOS SANTOS MACHADO</t>
  </si>
  <si>
    <t>José Gonçalves de Oliveira Filho</t>
  </si>
  <si>
    <t>Claudina Almeida Rego Dos Santos</t>
  </si>
  <si>
    <t>E6948/22</t>
  </si>
  <si>
    <t>ORTODONTIA</t>
  </si>
  <si>
    <t>01.11.46.00022</t>
  </si>
  <si>
    <t>BRACKET BIOMAX .022 ROTH/MBT PRE MOLAR SUP DIR C/G -7°T 0°A 2°O DENTE 14/15 C/1</t>
  </si>
  <si>
    <t>2026-07-24 18:32:51 -&gt; Reagendar a paciente para conferencia das contecoes.</t>
  </si>
  <si>
    <t>Ortodontia</t>
  </si>
  <si>
    <t>ADITEK DO BRASIL LTDA EPP</t>
  </si>
  <si>
    <t>01.11.46.00028</t>
  </si>
  <si>
    <t>BRACKET BIOMAX .022 MBT 1° PRE MOLAR INF ESQ C/G -12°T 0°A 4°O  DENTE 34 C/1</t>
  </si>
  <si>
    <t>01.11.46.00029</t>
  </si>
  <si>
    <t>BRACKET BIOMAX .022 MBT 2° PRE MOLAR INF ESQ C/G -17°T 0°A 4°O DENTE 35 C/1</t>
  </si>
  <si>
    <t>01.11.46.00032</t>
  </si>
  <si>
    <t>BRACKET BIOMAX .022 MBT 2° PRE MOLAR INF DIR C/G -17°T 0°A 4°O DENTE 45 C/1</t>
  </si>
  <si>
    <t>01.11.46.00033</t>
  </si>
  <si>
    <t>BRACKET BIOMAX .022 MBT INCISIVO INF UNIV -6°T 0°A DENTE 31/32/41/42 C/1</t>
  </si>
  <si>
    <t>1828259</t>
  </si>
  <si>
    <t>279697</t>
  </si>
  <si>
    <t>salvador ribeiro campo</t>
  </si>
  <si>
    <t>Marcela Guimarães Ramos Rodrigues</t>
  </si>
  <si>
    <t>E7196/23</t>
  </si>
  <si>
    <t>2024-06-08 13:38:33 -&gt; aNESTESIA, ISOLAMENTO ABSOLUTO, REMOÇÃO DE RESTAURAÇÃO PROVISORIA, REMOÇÃO DE MEDICAÇÃO, PROTOCOLO DE IRRIGAÇÃO,PROVA DO CONE E RADIOGRAFIA, OBTURAÇÃO E RADIOGRAFIA, CONDESAÇÃO VERTICAL, SELAMENTO PROVISÓRIO E RADIOGRAFIA FINAL.</t>
  </si>
  <si>
    <t>1828260</t>
  </si>
  <si>
    <t>292836</t>
  </si>
  <si>
    <t>MARIA DAS DORES silva ferrão</t>
  </si>
  <si>
    <t>2024-04-05 15:03:24 -&gt; ANESTESIA COM LIDOCAINA 2% COM EPINEFRINA 1:100:00 INFILTRATIVA, ISOLAMENTO ABSOLUTA COM GRAMPO 211, IRRIGAÇÃO COM HIPOCLORITO NAS TROCAS DE LIMA, LIMA UTILIZADA: 40.05 SISTEMA LOGIC NO COMPRIMENTO REAL DO DENTE 28 MM. PROTOCOLO DE AGITAÇÃO COM EDTA 3 CICLOS DE 20 SEGUNDOS DE AGITAÇÃO COM EASY CLEAN, SECAGEM DO CONDUTO E OBTURAÇÃO EM 1 MM AQUEM COM O CIMENTO SEALER PLUS, BLINDAGEM COM RENINA FLOW ( RESTAURAÇÃO PROVISÓRIA)</t>
  </si>
  <si>
    <t>1828272</t>
  </si>
  <si>
    <t>296751</t>
  </si>
  <si>
    <t>mariana neta moreira borges</t>
  </si>
  <si>
    <t>Ghabrielle Soares Neves</t>
  </si>
  <si>
    <t>2024-05-10 15:23:21 -&gt; Paciente chegou com 2:30 de atraso ( as 10:30). Foi realizado anestesia, remoção de selamento provisório, isolamento absoluto, remoção de medicação intracanal, protocolo de irrigação com easy clean ( hipoclorito 2,5%, EDta 17% e soro), prova do cone com 25.05 logic, radiografia, obturação do cone e cones acessórios, radiografia, condensação lateral e vertical, restauração provisória e radiografia final.</t>
  </si>
  <si>
    <t>1828273</t>
  </si>
  <si>
    <t>294674</t>
  </si>
  <si>
    <t>RAIANE SALES MOTA</t>
  </si>
  <si>
    <t>E7196/23B</t>
  </si>
  <si>
    <t>2024-10-05 12:24:42 -&gt; paciente dada como desistente, por não prosseguir com o tratamento.</t>
  </si>
  <si>
    <t>1828284</t>
  </si>
  <si>
    <t>296226</t>
  </si>
  <si>
    <t>FRANCISCA SOUZA NETA</t>
  </si>
  <si>
    <t>Nathália Neves Miclos</t>
  </si>
  <si>
    <t>2024-04-05 19:22:47 -&gt; PACIENTE compareceu a unidade para realizar o TRATAMENTO do elemento 15, foi feita a remoção do curativo, anestesia com mepivacaína 3% 02 tubetes, isolamento absoluto, EXPLORAÇÃO inicial k#10 e k#15 no terço cervical e médio 4mm aquém do cad, o cad foi  vestibuLar 21,5 mm e p 19,5mm. a cada troca de lima foi REALIZADA IRRIGAÇÃO com HIPOCLORITO 2,5%. Foi realizada o glidepath com a lima k#15 no comprimento do cad no canal VESTIBULAR e palatino. A lima mecanizada de escolha foi a logic 25,05 para preparo do terço cervical e médio e logo após odontometria com o auxílio do localizador apical que determinou o Ct vestibular 22mm e Palatino 20mm, logo após patência foraminal em oo+1 com a lima gisele 25,01. Para o preparo final foi feito o protocolo de irrigação com easy clean 3x edta e 3x hipoclorito intercalando, secou o canal com cone absorvente e a guta percha de escolha foi a do  sistema utilizado e obturação com cimento endodôntico ah plus.</t>
  </si>
  <si>
    <t>1828303</t>
  </si>
  <si>
    <t>291398</t>
  </si>
  <si>
    <t>SABRIMI APARECIDA DO NASCIMEnTO</t>
  </si>
  <si>
    <t>2024-08-05 13:12:59 -&gt; Paciente compareceu a CLÍNICA da faculdade para finalização de tratamento ENDODÔNTICO dente 46, foi realizada remoção de MEDICAÇÃO, instrumentação dos canais mv, mL e D e obturação com cone do sistem. Radiografia final.</t>
  </si>
  <si>
    <t>1849532</t>
  </si>
  <si>
    <t>246934</t>
  </si>
  <si>
    <t>MAURO SERGIO MUNHOZ TENENTE</t>
  </si>
  <si>
    <t>Maria Luiza Oliveira da Rocha</t>
  </si>
  <si>
    <t>2025-05-14 16:19:07 -&gt; Paciente Ficou de pensar sobre o tratamento. Recebeu todas as ex sobre o POSSÍVEL tratamento.</t>
  </si>
  <si>
    <t>1867881</t>
  </si>
  <si>
    <t>278587</t>
  </si>
  <si>
    <t>pedro ryan pEREIRA DA sILVA</t>
  </si>
  <si>
    <t>2024-08-05 11:20:17 -&gt; Foi realizado anestesia , isolamento, acesso dos dentes 21/11 remocao de medicacao , protocolo de irrigacao e prova de cone e obturacao em ambls os dentes . Paciente de alta da endodontia ! Paciente ciente e encaminhado para triagem de dentistica para restauracao final de ambos os dentes .</t>
  </si>
  <si>
    <t>1867899</t>
  </si>
  <si>
    <t>107730</t>
  </si>
  <si>
    <t>ROSEMEIRE AFONSO DA SILVA</t>
  </si>
  <si>
    <t>2025-05-16 00:52:42 -&gt; paciente nao e minha</t>
  </si>
  <si>
    <t>1867928</t>
  </si>
  <si>
    <t>299858</t>
  </si>
  <si>
    <t>Milena de carvalho Silva</t>
  </si>
  <si>
    <t>Cláudia Virgínia de Mariz Nogueira</t>
  </si>
  <si>
    <t>2025-04-05 14:14:59 -&gt; NÃO COMPARECEU</t>
  </si>
  <si>
    <t>1868318</t>
  </si>
  <si>
    <t>300280</t>
  </si>
  <si>
    <t>mateus emanuel oliveira da silva</t>
  </si>
  <si>
    <t>2026-09-12 13:33:52 -&gt; AMAMNESE E PLANO DE TRATAMENTO</t>
  </si>
  <si>
    <t>1869619</t>
  </si>
  <si>
    <t>173254</t>
  </si>
  <si>
    <t>IVANA CARVALHO DO NASCIMENTO</t>
  </si>
  <si>
    <t>2026-02-13 12:51:56 -&gt; Paciente compareceu à clínica de apoio relatando que a coroa sobre implante, estava folgada. Foi avaliado que na verdade era uma coroa provisória do dente 24 que estava com mobilidade. Encaminhei a paciente para a turma de Prótese, para avaliação desse dente, para ver a possibilidade de fazer uma coroa definitiva na região ou se a opção seria extrair e colocar implante.</t>
  </si>
  <si>
    <t>1883473</t>
  </si>
  <si>
    <t>297188</t>
  </si>
  <si>
    <t>ALAIDE CARDOSO GUEDES SILVA</t>
  </si>
  <si>
    <t>Maria Vitória Matias Lemos</t>
  </si>
  <si>
    <t>2024-12-06 15:54:42 -&gt; ANESTESIA INFILTRATIVA ,ISOLAMENTO ABSOLUTO,REMOÇÃO DA RESTAURAÇÃO PROVISÓRIA,IRRIGAÇÃO COM HIPOCLORITO DE SÓDIO,REINSTRUMENTAÇÃO, PROVA DO CONE,PROTOCOLO DE IRRIGAÇÃO;RX,OBTURAÇÃO DOS CANAIS COM AH PLUS,RX,BLINDAGEM DOS CANAIS E RESTAURAÇÃO PROVISÓRIA,RX FINAL</t>
  </si>
  <si>
    <t>1883512</t>
  </si>
  <si>
    <t>107709</t>
  </si>
  <si>
    <t>RENILDA OLIVEIRA NASCIMENTO MENDES</t>
  </si>
  <si>
    <t>2025-02-08 14:07:42 -&gt; paciente não veio por motivos maiores</t>
  </si>
  <si>
    <t>1884106</t>
  </si>
  <si>
    <t>296519</t>
  </si>
  <si>
    <t>thiago rosa pinto</t>
  </si>
  <si>
    <t>Mariana Ferreira Martins</t>
  </si>
  <si>
    <t>2024-08-02 14:46:17 -&gt; Anestesia do nasp; isolamento absoluto em único dente com grampo 26; instrumentação dos canais com sistema wog, protocolo de agitação com easyclean; prova do cone; radiografia da prova do cone; obturação com bio c sealer; cones acessórios + mcspadden para compactação e radiografia final.</t>
  </si>
  <si>
    <t>1884269</t>
  </si>
  <si>
    <t>282978</t>
  </si>
  <si>
    <t>susana morais de almeida da silva</t>
  </si>
  <si>
    <t>2025-01-10 17:07:26 -&gt; PACIENTE NÃO CONSEGUIU FAZER O EXAME SOLICITADO(TOMOGRAFIA).</t>
  </si>
  <si>
    <t>1884335</t>
  </si>
  <si>
    <t>283000</t>
  </si>
  <si>
    <t>MIRTES DOS SANTOS MORAis</t>
  </si>
  <si>
    <t>Laila Signorelli Maluf</t>
  </si>
  <si>
    <t>2024-06-12 12:24:14 -&gt; Refeito anamnese, planejamento clínico e financeiro</t>
  </si>
  <si>
    <t>1884360</t>
  </si>
  <si>
    <t>301042</t>
  </si>
  <si>
    <t>ALINE SUELY DE JESUS COSTA</t>
  </si>
  <si>
    <t>2025-02-25 17:57:24 -&gt; avaliação, orçamento de pino de fibra de vidro e coroa em emax nos dentes 25 e 26.</t>
  </si>
  <si>
    <t>1884362</t>
  </si>
  <si>
    <t>1884400</t>
  </si>
  <si>
    <t>293996</t>
  </si>
  <si>
    <t>andrew eduardo da silvaferreira</t>
  </si>
  <si>
    <t>ISABELA CATARINA MARTINS TEIXEIRA</t>
  </si>
  <si>
    <t>2025-06-03 12:31:02 -&gt; Transferência de turma para restauração indireta no dente 16 (paciente com HMI)</t>
  </si>
  <si>
    <t>1885697</t>
  </si>
  <si>
    <t>278066</t>
  </si>
  <si>
    <t>NILVA  da silva barauna</t>
  </si>
  <si>
    <t>2025-05-12 23:20:17 -&gt; TRATAMENTO ORTODONTIA</t>
  </si>
  <si>
    <t>1901554</t>
  </si>
  <si>
    <t>294371</t>
  </si>
  <si>
    <t>CÉSAR AUGUSTO CUBA SANCHEZ</t>
  </si>
  <si>
    <t>Letícia Peixoto Gonçalves</t>
  </si>
  <si>
    <t>2025-04-03 15:22:28 -&gt; Anestesia, remoção da restauração provisória, remoção da medicação intracanal, instrumentação pós conferência da odontometria: P:11mm, DV: 13mm, MV1: 10mm, MV2: 10mm. Agitação intracanal com easy clean, prova do cone, obturação com WOG primary calibrado para cada conduto, cimento: ah plus, restauração provisória com civ e radiografia final do tratamento.</t>
  </si>
  <si>
    <t>1903422</t>
  </si>
  <si>
    <t>297017</t>
  </si>
  <si>
    <t>MARCOS ANTONIO DIAS</t>
  </si>
  <si>
    <t>Hemanoela Ferreira Vilela de Souza</t>
  </si>
  <si>
    <t>2024-10-18 02:34:27 -&gt; Ajuste oclusal</t>
  </si>
  <si>
    <t>704.179</t>
  </si>
  <si>
    <t>CICATRIZADOR CMN Ø3.3 X 2.5MM</t>
  </si>
  <si>
    <t>01.11.01.00207</t>
  </si>
  <si>
    <t>1917048</t>
  </si>
  <si>
    <t>304684</t>
  </si>
  <si>
    <t>DYOGO ARAUJO SOUSA</t>
  </si>
  <si>
    <t>Renato Carvalho Ghader</t>
  </si>
  <si>
    <t>2025-02-25 17:02:49 -&gt; Desobturacao do conduto distal cimentacao do pino de fibra de vidro 0,5 preenchimento com resina charisma a1.</t>
  </si>
  <si>
    <t>1922246</t>
  </si>
  <si>
    <t>279024</t>
  </si>
  <si>
    <t>DÉBORA SILVA DE ANDRADE</t>
  </si>
  <si>
    <t>Márcio Leonardo de Jesus Resende</t>
  </si>
  <si>
    <t>2024-10-16 12:03:00 -&gt; Falta justificada</t>
  </si>
  <si>
    <t>1922759</t>
  </si>
  <si>
    <t>298648</t>
  </si>
  <si>
    <t>MARIA APARECIDA DOS SANTOS</t>
  </si>
  <si>
    <t>4763</t>
  </si>
  <si>
    <t>PARAFUSO COIFA CONE ESTETICO</t>
  </si>
  <si>
    <t>2026-07-15 11:51:05 -&gt; Foi realizada a colagem do dente 31.</t>
  </si>
  <si>
    <t>01.11.16.01116</t>
  </si>
  <si>
    <t>1933660</t>
  </si>
  <si>
    <t>282160</t>
  </si>
  <si>
    <t>tatyana alves rodrigues</t>
  </si>
  <si>
    <t>Leandro dos Santos Teixeira</t>
  </si>
  <si>
    <t>11.00.0046</t>
  </si>
  <si>
    <t>ALINHADOR ESTÉTICO REMOVÍVEL  SELF-GUARD</t>
  </si>
  <si>
    <t>2026-07-15 12:26:20 -&gt; falta</t>
  </si>
  <si>
    <t>01.11.46.00020</t>
  </si>
  <si>
    <t>1935325</t>
  </si>
  <si>
    <t>286091</t>
  </si>
  <si>
    <t>LARA VITORIA SOUZA SELiS DOS SANTOS</t>
  </si>
  <si>
    <t>Amanda Soares Mendes</t>
  </si>
  <si>
    <t>2024-12-07 14:18:50 -&gt; DENTE 17: RX, ANESTEIA COM LIDOCAINA 2% COM EPINEFRINA 1.100.00, ISOLAMENTO GRMPO W8A, ACESSO 3028, IRRIGAÇÃO HIPOCLORITO, INSTRUMENTAÇÃO 35.05 MESIAIS E 40.05 PALATINO, CANAL MV2 NAO LOCALIZADO( NAO TEM), PROTOCOLO DE AGITAÇÃO, PROVA DO CONE, PROVA DA OBTURAÇÃO, OBTURAÇÃO, BLINDAGEM, RC TEMPORÁRIA, PACIENTE PRECISA SER ENCAMINHADA PARA REABILITAÇÃO DO DENTE.</t>
  </si>
  <si>
    <t>1940325</t>
  </si>
  <si>
    <t>142122</t>
  </si>
  <si>
    <t>NILSE COSTA PINTO</t>
  </si>
  <si>
    <t>208925</t>
  </si>
  <si>
    <t>CICATRIZADOR UNII CONE MORSE 3.5X3.5</t>
  </si>
  <si>
    <t>2026-08-12 12:15:54 -&gt; Paciente compareceu para novo planejamento de implante Dente 35 e REMOÇÃO de implante 27</t>
  </si>
  <si>
    <t>2.1.10 -&gt; 2.1.11</t>
  </si>
  <si>
    <t>2.1.11</t>
  </si>
  <si>
    <t>01.11.16.00196</t>
  </si>
  <si>
    <t>1941319</t>
  </si>
  <si>
    <t>285935</t>
  </si>
  <si>
    <t>Nilma de Souza Simoes</t>
  </si>
  <si>
    <t>2025-12-10 14:29:01 -&gt; Ajuste oclusal, acabamento e polimento. Melhorar oclusao para paciente morder menos a bochecha.</t>
  </si>
  <si>
    <t>1952890</t>
  </si>
  <si>
    <t>296378</t>
  </si>
  <si>
    <t>VITOR REZENDE TEIXEIRA DOS SANTOS</t>
  </si>
  <si>
    <t>01.11.46.00048</t>
  </si>
  <si>
    <t>BRACKET EASYCLIP+ PASSIVO .022 ROTH/MBT PRE MOLAR SUP ESQ -7°T 0°A 2°O C/1</t>
  </si>
  <si>
    <t>2025-10-31 12:52:04 -&gt; Avaliação Contenção</t>
  </si>
  <si>
    <t>1959141</t>
  </si>
  <si>
    <t>291379</t>
  </si>
  <si>
    <t>patricia teixeira dos santos</t>
  </si>
  <si>
    <t>Kallenne Maciel de Oliveira Silveira</t>
  </si>
  <si>
    <t>2024-02-27 14:47:06 -&gt; AVALIAÇÃO INICIAL, APRESENTAÇÃo DE PLANO DE TRATAMENTO E ORÇAMENTO, ENCAMINHAMENTO PARA CLINICA DE PROTESE</t>
  </si>
  <si>
    <t>1963864</t>
  </si>
  <si>
    <t>294207</t>
  </si>
  <si>
    <t>LUCIMAR DA SILVA MAFIOLETTI</t>
  </si>
  <si>
    <t>2025-02-11 17:43:58 -&gt; instalaçao de munhão personalizado e coroa cimentada, ajuste oclusal e proximal, orientações sobre os cuidados necessarios. finalização de tratamento.</t>
  </si>
  <si>
    <t>1997326</t>
  </si>
  <si>
    <t>314895</t>
  </si>
  <si>
    <t>TATIANA GONCALVES REZENDE</t>
  </si>
  <si>
    <t>2025-01-10 19:37:02 -&gt; anestesia com lidocaina 2% com epinefrina 1:100.000, isolamento absoluto, acesso ao canal, instrumentação 25.06, irrigação e protocolo com edta, prova do cone, obturação, blindagem e rc temporária. paciente com tratamento proposto finalizado</t>
  </si>
  <si>
    <t>1997636</t>
  </si>
  <si>
    <t>312007</t>
  </si>
  <si>
    <t>gabriella pereira sales</t>
  </si>
  <si>
    <t>2025-02-06 14:59:25 -&gt; ANESTESIA COM MEPIVACAÍNA COM VASOCONSTRITOR, ISOLAMENTO GRAMPO W8A, ABERTURA, IRRIGAÇÃO COM HIPOCLORITO, RETIRADA DE MIC, IDENTIFICAÇÃO DE MV2, GLIDE E PATÊNCIA DE MV2 COM LIMAS 08 E 10 C-PILOT, ODONTOMETRIA, INSTRUMENTAÇÃO MV2 COM LIMA 15.01 E 25.05 (LOGIC). REINSTRUMENTAÇÃO DOS CANAIS DISTAIS E M-L COM LIMA 45.05 (LOGIC). PROTOCOLO DE AGITAÇÃO COM EASY CLEAN, PROVA DO CONE, OBTURAÇÃO COM AH PLUS, BLINDAGEM DOS CONDUTOS COM RESINA FLOW E RESTAURAÇÃO COM RESINA A3 (FORMA). ODONTOMETRIA: 16MM TODOS OS CANAIS.</t>
  </si>
  <si>
    <t>1998797</t>
  </si>
  <si>
    <t>282843</t>
  </si>
  <si>
    <t>ROGERIO NOGUEIRA DE SOUsa</t>
  </si>
  <si>
    <t>Gabriel Borges Santos</t>
  </si>
  <si>
    <t>2025-02-04 13:34:25 -&gt; Planejamento parte protética</t>
  </si>
  <si>
    <t>2009510</t>
  </si>
  <si>
    <t>311150</t>
  </si>
  <si>
    <t>FELIPE MONTEIRO GOMES DE LIMA</t>
  </si>
  <si>
    <t>2025-01-10 14:22:40 -&gt; Anestesia, isolamento absoluto, remoção da restauração provisória, checagem da odontometria (mv-20mm,ml-20mm,d-19mm),reinstrumentação(lógico mv-#35.5,ml-#35.5,d-#40.5), protocolo de irrigação,prova do cone(RX), obturação(cimento ah plus)(RX), restauração provisória,RX final, tratamento finalizado.</t>
  </si>
  <si>
    <t>2009764</t>
  </si>
  <si>
    <t>310967</t>
  </si>
  <si>
    <t>rodrigo rodrigues de souza</t>
  </si>
  <si>
    <t>2025-05-09 19:44:47 -&gt; aNEST + ISOLAMENTO + ACESSO. PACIENTE SEM SINTOMATOLOGIA PÓS ÚLTIMA CONSULTA; FOI REALIZADO INSTRUMENTAÇÃO EM TA C ÚLTIMAS LIMAS USADAS: D: MÉDIUM WOG// ML E MV COM LOGIC 25.06; PROVA DO CONE; PROTOCOLO DE IRRIGAÇÃO E AGITAÇÃO COM HS 2,5% E EDTA 17%; 3X20ML; OBTURAÇÃO COM CONE ÚNICO E CIMENTO BIOC SEALER. ENCAMINHAMENTO PARA PROTESE.</t>
  </si>
  <si>
    <t>2009919</t>
  </si>
  <si>
    <t>266781</t>
  </si>
  <si>
    <t>UBIRATÃ AZEVEDO</t>
  </si>
  <si>
    <t>2025-02-07 14:21:27 -&gt; DENTE 24. ANESTESIA, ISOLAMENTO, REMOÇÃO DO CURATIVO COM LIMAS MANUAIS K#10, K#15, K#20. RETOMADA DA INSTRUMENTAÇÃO MECANIZADA COM A LIMA WAVE ONE PRIMARY. odontometria P; 20 mm e V:19,5, patência, protocolo de irrigação 3x edta e 3x hipoclorito, teste RADIOGRÁFICO do c0ne e  obturação com cimento ah plus, blindagem e raio-x final.</t>
  </si>
  <si>
    <t>2010018</t>
  </si>
  <si>
    <t>310924</t>
  </si>
  <si>
    <t>Patricia Rocha Rodrigues</t>
  </si>
  <si>
    <t>2025-02-13 01:18:56 -&gt; paciente orientada a procurar turma de exodontia e implantes , remoção de pino inviavel pela endodontia guiada devido a parede ser fina e ter risco e perfuração dentaria ; 
paciente orientada sobre riscos e a mesma em conjunto com o professor ( rodrigo) e a aluna definiu nao PROSSEGUIR com o tratamento , sendo assim encaminhou paciente para assinar termo de conclusão</t>
  </si>
  <si>
    <t>2027824</t>
  </si>
  <si>
    <t>299101</t>
  </si>
  <si>
    <t>geovana da costa silva</t>
  </si>
  <si>
    <t>2025-04-03 14:24:51 -&gt; anestesia com mepivacaina, bloqueio do alveolar posterior inferior e infiltrativa. isolamento e reabertura, retirada de mic e irrigação. exploração dos canais com lima 10 c-pilot. instrumentação com 25.05 dos condutos distais e m-v. instrumentação dos distais 30.05. protocolo de agitação com easy clean de todos os condutos. prova do cone. obturação dos condutos com gutas correspondentes easy. blindagem e restauração provisória. raio-x final. obs: apesar de não remover a lima fraturada no conduto m-l, o caso segue com um bom prognóstico tendo em vista de que os condutos mesiais se encontravam e houve a obturação do m-v até o forame.</t>
  </si>
  <si>
    <t>2027848</t>
  </si>
  <si>
    <t>317751</t>
  </si>
  <si>
    <t>Bryan ferreira da Silva</t>
  </si>
  <si>
    <t>Ana Paula Paiva Freitas</t>
  </si>
  <si>
    <t>2025-05-24 00:46:32 -&gt; DENTE 21: REABERTURA CORONÁRIA, REMOÇÃO DA MIC, ODONTOMETRIA (22MM), PQM COMPLETO COM SISTEMA WAVE ONE (45.06) E COMPLEMENTO ATE LIMA MANUAL K#70. AUMENTO DE PERMEABILIDADE DENTINARIA (3X20S COM HIPOCLORITO E EDTA-T) E IRRIGAÇÃO FINAL COM SORO FISIOLÓGICO. OBTURAÇÃO COM ENDO FILL, TENDO NECESSIDADE DE CONES ACESSÓRIOS. RESTAURAÇÃO DEFINITIVA EM RESINA COMPOSTA.</t>
  </si>
  <si>
    <t>2042175</t>
  </si>
  <si>
    <t>148649</t>
  </si>
  <si>
    <t>LUCICLEIDE RODRIGUES RAMOS</t>
  </si>
  <si>
    <t>2025-04-20 21:17:22 -&gt; realizado obturacao com cones da wave one corresponde ao tamanho da lima utilizada em cada conduto , realixo protocolo de hirrigacao e selamento provisorio , paciente encaminhada para finalizacao definitiva da rrc</t>
  </si>
  <si>
    <t>2042198</t>
  </si>
  <si>
    <t>317279</t>
  </si>
  <si>
    <t>Rubens Félix de Araújo</t>
  </si>
  <si>
    <t>Rafael Jesus Oliveira</t>
  </si>
  <si>
    <t>2025-10-04 12:45:59 -&gt; Paciente não fechou tratamento</t>
  </si>
  <si>
    <t>2051315</t>
  </si>
  <si>
    <t>300815</t>
  </si>
  <si>
    <t>danielle estrela xavier</t>
  </si>
  <si>
    <t>Manoel Eduardo de Lima Machado</t>
  </si>
  <si>
    <t>Aline Conceição da Silva</t>
  </si>
  <si>
    <t>E7696/24B</t>
  </si>
  <si>
    <t>2025-12-18 12:19:37 -&gt; retorno para raio x, para avaliar o dente feito em março</t>
  </si>
  <si>
    <t>2051337</t>
  </si>
  <si>
    <t>319844</t>
  </si>
  <si>
    <t>PAULO ROBERTO VIEIRA DIMATTEU</t>
  </si>
  <si>
    <t>E7973/24</t>
  </si>
  <si>
    <t>2025-05-14 16:16:39 -&gt; Paciente faltou</t>
  </si>
  <si>
    <t>2051343</t>
  </si>
  <si>
    <t>319894</t>
  </si>
  <si>
    <t>ANTONIO MARCOS DA SILVA</t>
  </si>
  <si>
    <t>Geovana Toledo Cacciari</t>
  </si>
  <si>
    <t>2026-03-11 12:37:48 -&gt; Paciente vai realizar a tomografia ainda. Nao conseguiu realizar esse mes</t>
  </si>
  <si>
    <t>2051345</t>
  </si>
  <si>
    <t>319493</t>
  </si>
  <si>
    <t>Beatriz Queiroz Costa</t>
  </si>
  <si>
    <t>Manuela Castro de Oliveira</t>
  </si>
  <si>
    <t>2026-09-24 21:31:26 -&gt; Realizada manutenção fio 14” com molas na distal e mesial do dente 12</t>
  </si>
  <si>
    <t>2051347</t>
  </si>
  <si>
    <t>319465</t>
  </si>
  <si>
    <t>THAISA DA COSTA CARDOSO</t>
  </si>
  <si>
    <t>Eduarda Pínola Pinheiro</t>
  </si>
  <si>
    <t>2025-09-30 15:22:56 -&gt; paciente não retorna o contato.</t>
  </si>
  <si>
    <t>2051354</t>
  </si>
  <si>
    <t>317391</t>
  </si>
  <si>
    <t>MARIA ÁGUIDA RODRIGUES RAMOS</t>
  </si>
  <si>
    <t>Rafaella Prates Braga</t>
  </si>
  <si>
    <t>2025-03-21 13:57:44 -&gt; Fim de tratamento endodôntico + pino de fibra de vidro dente 25</t>
  </si>
  <si>
    <t>2051357</t>
  </si>
  <si>
    <t>299345</t>
  </si>
  <si>
    <t>anderson araújo do nascimento</t>
  </si>
  <si>
    <t>2025-10-16 14:54:23 -&gt; ABERTURA CORONÁRIA, PREPARO CERVICAL COM ORIFICE SHAPE, ODONTOMETRIA (19MM) E PQM COMPLETO COM SISTEMA WAVE ONE até LIMA 45.06. AUMENTO DE PERMEABILIDADE DENTINÁRIA (3X20S DE HIPOCLORITO E EDTA-T) E IRRIGAÇÃO FINAL COM SORO FISIOLÓGICO ESTÉRIL. OBTURAÇÃO apical COM ah plus e cimentação de PFV 0.5 com cimento allcem dual cor a2. restauração definitiva por palatina cor a3 (z100).</t>
  </si>
  <si>
    <t>2051360</t>
  </si>
  <si>
    <t>318219</t>
  </si>
  <si>
    <t>Normaci de Oliveira Batista</t>
  </si>
  <si>
    <t>Julyana Oliveira Alves</t>
  </si>
  <si>
    <t>2025-11-19 17:32:34 -&gt; paciente retornou para o acompanhamento do dente 37, foi feito o raio x e esta tudo ok. paciente encerrou os tratamentos de endodontia</t>
  </si>
  <si>
    <t>2051377</t>
  </si>
  <si>
    <t>318529</t>
  </si>
  <si>
    <t>Arlete Ricco Jefferson de Souza</t>
  </si>
  <si>
    <t>Jessica Barbosa Alves</t>
  </si>
  <si>
    <t>2025-09-26 10:22:28 -&gt; Nao houve clinca</t>
  </si>
  <si>
    <t>2051624</t>
  </si>
  <si>
    <t>302611</t>
  </si>
  <si>
    <t>GUILHERME DE SOUZA SANTIAGO</t>
  </si>
  <si>
    <t>2026-04-23 15:54:11 -&gt; paciente compareceu na clinica de apoio relatando ter perdido celular e que gostaria de contunuar fazendo tratamento, mas gostaria de fazer um protocolo superior ao inves de fazer tratamento endodôntico. FOi feito pedido de tomografia e explicado que a equipe de implante irá fazer planejamento da melhor conduta.</t>
  </si>
  <si>
    <t>2051709</t>
  </si>
  <si>
    <t>298540</t>
  </si>
  <si>
    <t>ROSELI MARIA JUPPA</t>
  </si>
  <si>
    <t>Regina Angélica de Araújo Tavares Silva</t>
  </si>
  <si>
    <t>2026-07-14 14:16:49 -&gt; Tratamento finalizado com alta</t>
  </si>
  <si>
    <t>2051747</t>
  </si>
  <si>
    <t>302524</t>
  </si>
  <si>
    <t>enilda cássia da costa frança</t>
  </si>
  <si>
    <t>2026-09-24 12:35:36 -&gt; atendimento realizado pelo aluno paulo da turma 8757 
anamnese + avaliação + pedido de tomografia.</t>
  </si>
  <si>
    <t>2051789</t>
  </si>
  <si>
    <t>320315</t>
  </si>
  <si>
    <t>Sâmio da Silva Santos</t>
  </si>
  <si>
    <t>Larissa Elis Costa Batista</t>
  </si>
  <si>
    <t>2025-11-13 17:38:31 -&gt; Paciente nao pode comparecer mas infirmou com antecedencia</t>
  </si>
  <si>
    <t>2051813</t>
  </si>
  <si>
    <t>316911</t>
  </si>
  <si>
    <t>Orleide soares jovino</t>
  </si>
  <si>
    <t>2025-03-24 13:17:21 -&gt; Dente 36 já estava aberto. Instrumentação dos canais mesiais em 23mm e canal D em 21mm. Agitação hipoclorito de sódio 2,5% e EDTA-T. Obturação com sealer 26. Pino fibra de vidro reforpin  na raiz distal. Resina Bulkflow. Paciente orientada a procurar dentista para fazer a restauração definitiva.</t>
  </si>
  <si>
    <t>2051839</t>
  </si>
  <si>
    <t>319833</t>
  </si>
  <si>
    <t>Dilmara Souza Costa</t>
  </si>
  <si>
    <t>Gabriela Bougleux Cunha</t>
  </si>
  <si>
    <t>2025-10-16 11:42:44 -&gt; CANAL DENTE 46 não foi realizado devido a calcific dos condutos. Paciente de alta</t>
  </si>
  <si>
    <t>2051844</t>
  </si>
  <si>
    <t>320005</t>
  </si>
  <si>
    <t>Nilva Luiza dos santos</t>
  </si>
  <si>
    <t>2025-05-25 13:31:30 -&gt; Falta justificada</t>
  </si>
  <si>
    <t>2053128</t>
  </si>
  <si>
    <t>320435</t>
  </si>
  <si>
    <t>Thais Batista Santarém</t>
  </si>
  <si>
    <t>Larissa Franciely Aparecida Silva Cruz</t>
  </si>
  <si>
    <t>2025-04-25 13:07:52 -&gt; Paciente atrasou mais de uma hora no atendimento e precisei remarcar para o proximo modulo</t>
  </si>
  <si>
    <t>2053455</t>
  </si>
  <si>
    <t>302582</t>
  </si>
  <si>
    <t>BRENO HENRIQUE MARTINS DA SILVA LIMA</t>
  </si>
  <si>
    <t>2026-09-12 13:31:52 -&gt; AMAMNESE E PLANO DE TRATAMENTO</t>
  </si>
  <si>
    <t>2072602</t>
  </si>
  <si>
    <t>322171</t>
  </si>
  <si>
    <t>Dalmi da cruz</t>
  </si>
  <si>
    <t>Maria Luiza Galhardo</t>
  </si>
  <si>
    <t>2025-05-23 16:12:10 -&gt; Foi finalizado o tratamento endodontico do dente 37, canal distal deve ser acompanhado pois rx indica ter uma saída lateral, radiograficamente na obturação não houve extravasamento de cimento então deve ser acompanhado com 6 meses para indicar o pino e bloco. FOI FEITO SELAMENTO DO CONDUTO COM IONOMERO E RESTAURAÇÃO COM RESINA COMPOSTA.</t>
  </si>
  <si>
    <t>2072700</t>
  </si>
  <si>
    <t>322238</t>
  </si>
  <si>
    <t>Antônio Renato Souza Machado</t>
  </si>
  <si>
    <t>Heloisa Nogueira Duarte</t>
  </si>
  <si>
    <t>2025-04-25 15:22:29 -&gt; reinstrumentação canal de 24 milimetros, prova do cone, rx cimentação de obturação apical, instalação de pino de fibra de vidro e selamento com resina fotopolimerizável. finalização do tratamento com rx final. dente já reabilitado</t>
  </si>
  <si>
    <t>2072740</t>
  </si>
  <si>
    <t>321931</t>
  </si>
  <si>
    <t>Valentina Ribeiro lopes</t>
  </si>
  <si>
    <t>Ana Beatriz Brito Macedo</t>
  </si>
  <si>
    <t>2026-05-07 14:38:12 -&gt; Aluna Ana beatriz dez a triagem desse paciente e pediu uma tomografia.</t>
  </si>
  <si>
    <t>2074016</t>
  </si>
  <si>
    <t>322206</t>
  </si>
  <si>
    <t>MARCELLA DE SOUZA OLIVEIRA</t>
  </si>
  <si>
    <t>Rafaela da Silva Baida</t>
  </si>
  <si>
    <t>2025-06-12 15:21:02 -&gt; acabamento e polimento do elemento 22, que estava incomodando a paciente, instruções de higiene, profilaxia e aplicação de flúor</t>
  </si>
  <si>
    <t>2086614</t>
  </si>
  <si>
    <t>318918</t>
  </si>
  <si>
    <t>Iza de Fátima Pereira Nunes Inácio</t>
  </si>
  <si>
    <t>E7496/24B</t>
  </si>
  <si>
    <t>2026-08-19 14:11:42 -&gt; Foi realizado entregue a protese PROTOCOLO, onde foi feito o ajuste oclusal. Destacando que do lado direito foi deixado a mordida mais aliviada, onde foi feito instalação do implante e presenca de comunicaçao. A paciente foi orientada presencialmente e via whasapp em relacao a limpeza e os cuidados a serem tomados</t>
  </si>
  <si>
    <t>2090747</t>
  </si>
  <si>
    <t>274103</t>
  </si>
  <si>
    <t>PATRICIA SILVA DE LIMA SOUZA</t>
  </si>
  <si>
    <t>Julhia Martins Bessa</t>
  </si>
  <si>
    <t>2026-02-20 19:50:39 -&gt; Paciente compareceu, mas estava com problemas De saude, ela foi avaliada e realizado o Rx. Tivemos reabsorção de 2mm da medicação, mas como ela relatou anemia, optamos por esperar para finalizar.</t>
  </si>
  <si>
    <t>2090750</t>
  </si>
  <si>
    <t>261219</t>
  </si>
  <si>
    <t>REGIANE COLACIO COSTA</t>
  </si>
  <si>
    <t>Clara Brito Hamburgo</t>
  </si>
  <si>
    <t>2025-08-20 18:15:54 -&gt; atendimento endodontico</t>
  </si>
  <si>
    <t>2090776</t>
  </si>
  <si>
    <t>322828</t>
  </si>
  <si>
    <t>César Augustus Fernandes da Silva</t>
  </si>
  <si>
    <t>Maria Eduarda Dourado Gomes</t>
  </si>
  <si>
    <t>2025-12-06 11:30:15 -&gt; Entrega da coroa definitiva, proxima consulta iremos realizar uma inlay no dente 26.</t>
  </si>
  <si>
    <t>2091172</t>
  </si>
  <si>
    <t>323066</t>
  </si>
  <si>
    <t>hamza cheick oumar dia</t>
  </si>
  <si>
    <t>2025-07-16 16:15:59 -&gt; Re tratamento Endodôntico dos dentes 45 e 46 sem intercorrencias. Tratamento finalizado e protocolo de desinfecção final. Canais obturados com cones Wave one  e cimento resinoso. Canais selados com o número de vidro e restaurado com resina A2.</t>
  </si>
  <si>
    <t>2091531</t>
  </si>
  <si>
    <t>324284</t>
  </si>
  <si>
    <t>Maciel Rocha Calaça de Oliveira</t>
  </si>
  <si>
    <t>2025-06-25 21:35:56 -&gt; 46, paciente finalizou canal, sem intercorrências tem indicação de bloco</t>
  </si>
  <si>
    <t>2091807</t>
  </si>
  <si>
    <t>323841</t>
  </si>
  <si>
    <t>Danilo Sérgio Lopes da Veiga</t>
  </si>
  <si>
    <t>2025-07-19 08:18:17 -&gt; Radiografia periaoical e AVALIAÇÃO clinica dente 33. Reagendaremos retorno em Out</t>
  </si>
  <si>
    <t>2092113</t>
  </si>
  <si>
    <t>262743</t>
  </si>
  <si>
    <t>DELIVANIA DE ANDRADE MARTINS</t>
  </si>
  <si>
    <t>Marília Gomes de Lima</t>
  </si>
  <si>
    <t>2026-01-30 17:07:29 -&gt; falta</t>
  </si>
  <si>
    <t>2092122</t>
  </si>
  <si>
    <t>287418</t>
  </si>
  <si>
    <t>julia machado chagas</t>
  </si>
  <si>
    <t>2025-07-17 18:02:31 -&gt; tratamento endodontico dente 37, obturação, selamento e restauração</t>
  </si>
  <si>
    <t>2096759</t>
  </si>
  <si>
    <t>324805</t>
  </si>
  <si>
    <t>Daniela Manquevich de Lima Cabus</t>
  </si>
  <si>
    <t>Juliana César Ramiro de Sousa Dumont</t>
  </si>
  <si>
    <t>CM7198/23</t>
  </si>
  <si>
    <t>01.14.09.00250</t>
  </si>
  <si>
    <t>PLANEJAMENTO SELF -ADITEK</t>
  </si>
  <si>
    <t>2025-07-25 20:41:50 -&gt; Falta Justificada. Paciente irá reagendar para fecharmos tratamento</t>
  </si>
  <si>
    <t>Mini-implantes e Sistema Autoligado</t>
  </si>
  <si>
    <t>2102059</t>
  </si>
  <si>
    <t>176329</t>
  </si>
  <si>
    <t>ELIANE LOPES CARDOSO</t>
  </si>
  <si>
    <t>Iury Machado Ribeiro</t>
  </si>
  <si>
    <t>Marianne Albuquerque e Silva</t>
  </si>
  <si>
    <t>E8021/24B</t>
  </si>
  <si>
    <t>01.14.12.00643</t>
  </si>
  <si>
    <t>LOGISTICA OPERACIONAL</t>
  </si>
  <si>
    <t>2026-08-07 18:59:03 -&gt; Revisao. Nao concluimos o atendimento. Necessario novo procedimento.</t>
  </si>
  <si>
    <t>2102457</t>
  </si>
  <si>
    <t>85337</t>
  </si>
  <si>
    <t>MARIA JOSÉ VIANA OLIVEIRA</t>
  </si>
  <si>
    <t>2025-10-05 18:24:04 -&gt; Foi entregue a coroa sobre implante do elemento 16. Foi realizado um novo planejamento e ORÇAMENTO de coroas totais de emax dos dentes: 15, 14, 13, 12, 11, 21, 22, 23, 24 e 25.</t>
  </si>
  <si>
    <t>2.1.10 -&gt; 2.1.20 -&gt; 2.1.11</t>
  </si>
  <si>
    <t>228923</t>
  </si>
  <si>
    <t>TRANSFER IMPLANTE CONE MORSE AR MOLDEIRA FECHADA</t>
  </si>
  <si>
    <t>01.11.16.00545</t>
  </si>
  <si>
    <t>24548</t>
  </si>
  <si>
    <t>PILAR BASE T UNII CONE MORSE AR 4.5X2.5</t>
  </si>
  <si>
    <t>01.11.16.00719</t>
  </si>
  <si>
    <t>31509</t>
  </si>
  <si>
    <t>ANALOGO D/G CM AR</t>
  </si>
  <si>
    <t>01.11.16.01126</t>
  </si>
  <si>
    <t>702.468</t>
  </si>
  <si>
    <t>ABUTMENT CAD CME Ø4.5 X 2.5 X 4MM</t>
  </si>
  <si>
    <t>01.11.01.00333</t>
  </si>
  <si>
    <t>ADCM 3500</t>
  </si>
  <si>
    <t>ANÁLOGO DIGITAL PARA IMPLANTE CM</t>
  </si>
  <si>
    <t>01.11.01.00306</t>
  </si>
  <si>
    <t>TMFCCM</t>
  </si>
  <si>
    <t>TRANSFER. MOLDEIRA FECH. MAX CM - CURTO</t>
  </si>
  <si>
    <t>01.11.01.00301</t>
  </si>
  <si>
    <t>2103637</t>
  </si>
  <si>
    <t>266722</t>
  </si>
  <si>
    <t>MARISTELA de OLIVEIRA DO ROSARIO SILVA</t>
  </si>
  <si>
    <t>2025-09-04 17:50:52 -&gt; Paciente compareceu a clinica de apoio, com o cicatrizador da regiao do implante 37 solto. Foi feita anestesia na regiao e instalado o cicatrizador novamente.</t>
  </si>
  <si>
    <t>2104099</t>
  </si>
  <si>
    <t>306084</t>
  </si>
  <si>
    <t>jose valdir pereira da silva</t>
  </si>
  <si>
    <t>Salatiel Araújo Silva</t>
  </si>
  <si>
    <t>2026-02-11 17:09:53 -&gt; pARAFUSAMENTO DA COROA</t>
  </si>
  <si>
    <t>2111604</t>
  </si>
  <si>
    <t>308241</t>
  </si>
  <si>
    <t>FABRÍCIO GUEDES VIANA</t>
  </si>
  <si>
    <t>Thaís Helena Gonçalves</t>
  </si>
  <si>
    <t>2025-08-21 14:53:15 -&gt; Agitação hipoclorito e edta -t . Obturação dos canais com sealer 26. Obs. Canal DV possui saída foraminal não coincidente com o ápice radicular. Algodão.Resina. dente 16.</t>
  </si>
  <si>
    <t>2111608</t>
  </si>
  <si>
    <t>2111649</t>
  </si>
  <si>
    <t>292942</t>
  </si>
  <si>
    <t>SUELI RODRIGUES DE SOUSA</t>
  </si>
  <si>
    <t>Geovana Fernandes Oliveira</t>
  </si>
  <si>
    <t>2026-01-16 13:38:38 -&gt; OBTURAÇÃO FINAL dos canais distais, elemento apresentava lesao apical e fístula, feito rx para localização da mesma e obturação d com 25 wog vd com 35 wog e restauração definitiva com resina composta.</t>
  </si>
  <si>
    <t>2111716</t>
  </si>
  <si>
    <t>324843</t>
  </si>
  <si>
    <t>ana maria da silva</t>
  </si>
  <si>
    <t>Lucas Silva Lima</t>
  </si>
  <si>
    <t>2025-11-13 12:29:32 -&gt; Avaliacao do protocolo e troca do parafuso que caiu. Encaminhado para a turma de protese p/ fazer placa de bruxismo e reabilitar os demtes 33 ao 43.</t>
  </si>
  <si>
    <t>2111749</t>
  </si>
  <si>
    <t>325183</t>
  </si>
  <si>
    <t>FILIPE SOARES DIAS</t>
  </si>
  <si>
    <t>2026-01-06 13:22:53 -&gt; raspagem e profilaxia, paciente orientada usar pasra para sensibilidade ( dente 17). colocado perfil dentística para realizar pequenas restaurações ( 12m, 47 v). Paciente tem interesse usar alinhador.</t>
  </si>
  <si>
    <t>2111814</t>
  </si>
  <si>
    <t>325123</t>
  </si>
  <si>
    <t>AFONSO BEZERRA COSTA</t>
  </si>
  <si>
    <t>Arthur Cesar Bessa de Carvalho</t>
  </si>
  <si>
    <t>2025-06-27 18:25:48 -&gt; Tratamento endodontico dente 37. Dente chegou aberto, foi realizado a regularização da cirurgia de acesso e tratado os 3 canais.
Mv e ml: lima inicial 15 obturador com cone 35.06 em 18mm
D: lima inicial 30 obturador com 45.06. Cimento sealer plus e restauração em resina composta classe I
M</t>
  </si>
  <si>
    <t>2111841</t>
  </si>
  <si>
    <t>324567</t>
  </si>
  <si>
    <t>João Paulo Maciel Moreira</t>
  </si>
  <si>
    <t>2025-08-26 12:05:22 -&gt; Agendamento errado, paciente foi atendido Dia 21/08</t>
  </si>
  <si>
    <t>2111869</t>
  </si>
  <si>
    <t>324514</t>
  </si>
  <si>
    <t>Adriana de jesus arruda</t>
  </si>
  <si>
    <t>2025-08-21 20:11:00 -&gt; Pacipaciente retornou e foi finalizado o tratamento completo; fiz fizemos o tratamento endodontico do dente 36 que foi instrumentado com lima 35.06 selado e obturado com endofill; resina composta.</t>
  </si>
  <si>
    <t>2111934</t>
  </si>
  <si>
    <t>325360</t>
  </si>
  <si>
    <t>Ricarte Gonçalves Dantas</t>
  </si>
  <si>
    <t>2025-08-08 18:09:49 -&gt; Consulta. Plano de tratameNto.</t>
  </si>
  <si>
    <t>2112267</t>
  </si>
  <si>
    <t>325001</t>
  </si>
  <si>
    <t>Edivaldo ferreira lima</t>
  </si>
  <si>
    <t>Calebe Fernandes Rodrigues de Lima</t>
  </si>
  <si>
    <t>2026-09-02 17:03:59 -&gt; ORÇAMENTO E MOLDAGEM</t>
  </si>
  <si>
    <t>2112337</t>
  </si>
  <si>
    <t>326204</t>
  </si>
  <si>
    <t>davi emanuel gomes de meneses</t>
  </si>
  <si>
    <t>2026-01-16 13:53:45 -&gt; Reconstrução do dente 21 e radiografia de acompanhamento endodôntico.</t>
  </si>
  <si>
    <t>2113500</t>
  </si>
  <si>
    <t>299930</t>
  </si>
  <si>
    <t>vinicius lucas almeida cardoso</t>
  </si>
  <si>
    <t>2025-11-08 12:57:05 -&gt; Finalizamos o tratamento.entrega da coroa definitiva do dente 36/47.</t>
  </si>
  <si>
    <t>2113805</t>
  </si>
  <si>
    <t>325789</t>
  </si>
  <si>
    <t>Pedro Augusto da Costa</t>
  </si>
  <si>
    <t>2025-10-24 16:28:40 -&gt; Mae aguardando liberar limete do cartao para realizar pagamento dos alinhadores.</t>
  </si>
  <si>
    <t>2124447</t>
  </si>
  <si>
    <t>326740</t>
  </si>
  <si>
    <t>Adriana Mateus da Silva</t>
  </si>
  <si>
    <t>2025-07-18 12:02:05 -&gt; Tratamento ENDODÔNTICO do elemento 26. Cirurgia de acesso, localização dos canais P, Mv, Mv2, p. Instrumentação com Wave One Gold, irrigação com Nacl 2,5%, edta 17% e soro fisiológico. Obturação dos canais MV e md com cone 35.06, mv2 30.06 e P 45.06. Selamento provisório com resina flow.</t>
  </si>
  <si>
    <t>2124478</t>
  </si>
  <si>
    <t>324982</t>
  </si>
  <si>
    <t>Rejane da Silva Sarmento</t>
  </si>
  <si>
    <t>2026-07-06 14:52:54 -&gt; retirada do mock up</t>
  </si>
  <si>
    <t>2124514</t>
  </si>
  <si>
    <t>324777</t>
  </si>
  <si>
    <t>braedexo snawels urbina silva</t>
  </si>
  <si>
    <t>2025-08-14 12:50:12 -&gt; Paciente irá retornar para tratamento do 46</t>
  </si>
  <si>
    <t>2124591</t>
  </si>
  <si>
    <t>325494</t>
  </si>
  <si>
    <t>carmelita gonçalves de azevedo</t>
  </si>
  <si>
    <t>2026-01-06 15:25:57 -&gt; Acompanhamento Do dente 45, está tudo certo com o tratamento endodôntico do dente 45, sem sintomas.</t>
  </si>
  <si>
    <t>2124604</t>
  </si>
  <si>
    <t>327131</t>
  </si>
  <si>
    <t>Márcia do Rosário Reis</t>
  </si>
  <si>
    <t>2025-10-08 20:12:11 -&gt; rest dente 44. paciente falou que não entendeu o orçamento e que não recebeu o orçamento, foi levada para o financeiro para pegar o orçamento.</t>
  </si>
  <si>
    <t>2124859</t>
  </si>
  <si>
    <t>327018</t>
  </si>
  <si>
    <t>Renato pereira de novaes Neto</t>
  </si>
  <si>
    <t>Maria Eduarda dos Santos Cordeiro</t>
  </si>
  <si>
    <t>2026-01-29 14:16:10 -&gt; Foi agendado para acompanhamento de 6 meses pos tratamento</t>
  </si>
  <si>
    <t>2124891</t>
  </si>
  <si>
    <t>292476</t>
  </si>
  <si>
    <t>JULIANA DE SANT ANNA MORAIS</t>
  </si>
  <si>
    <t>2026-04-17 18:43:37 -&gt; raspagem e profilaxia</t>
  </si>
  <si>
    <t>2124915</t>
  </si>
  <si>
    <t>131834</t>
  </si>
  <si>
    <t>PÂMELA ESCÓRCIO FERREIRA SILVA</t>
  </si>
  <si>
    <t>2026-01-02 17:46:34 -&gt; instalação da contenção higiênica 3x3, obs paciente orientada caso solte fazer molde para enviar para laboratório.</t>
  </si>
  <si>
    <t>2125020</t>
  </si>
  <si>
    <t>327062</t>
  </si>
  <si>
    <t>Driele Serafim dos Santos</t>
  </si>
  <si>
    <t>2025-10-22 13:49:26 -&gt; RetrAtamento endondontico do 1 molar inferior com presença de pino de fibra de vidro, conduto não instrumentado e lesao apical associada. Os 4 condutor foram identificados por tomografia para melhor planejamento. Após remoção do pino e desinfecção completa foi utilizado pasta Machado como medicação intracanal, contribuindo para reparo apical. Finalização com obturação e secamente completo.</t>
  </si>
  <si>
    <t>2125389</t>
  </si>
  <si>
    <t>125099</t>
  </si>
  <si>
    <t>MARLENE CRISTINA DOS REIS</t>
  </si>
  <si>
    <t>2025-12-18 11:24:57 -&gt; Paciente pediu um tempo para decidir sobre o tratamento, alega não ter dor e preferiu adiar o tratamento</t>
  </si>
  <si>
    <t>2125619</t>
  </si>
  <si>
    <t>259085</t>
  </si>
  <si>
    <t>LEYDIANNA DA SILVA VILAR</t>
  </si>
  <si>
    <t>2026-08-25 18:07:44 -&gt; Paciente compareceu a clinica de apoio com a resina do dente 46 quebrada. Foi feita nova resina e orientado a paciente que deverá fazer um bloco na turma de protese ou dentistica, porem não temos previsao de quando as turmas poderão chama-la e que se estiver demorando muito, para procurar atendimento particular se for o caso.</t>
  </si>
  <si>
    <t>2125791</t>
  </si>
  <si>
    <t>327539</t>
  </si>
  <si>
    <t>OSCAR TABOSA MATOS</t>
  </si>
  <si>
    <t>Kamila Vieira de Oliveira</t>
  </si>
  <si>
    <t>2025-08-21 20:18:35 -&gt; Realizado tratamento endodôntico no dente 26, sem intercorrÊncias. Conduto mesial tratado com lima wave one medium e obturado com cone large. ObturacÃo com cimento resinoso e restauração em coroa com resina a2.</t>
  </si>
  <si>
    <t>2125894</t>
  </si>
  <si>
    <t>294307</t>
  </si>
  <si>
    <t>valdomiro gonçalves fonseca</t>
  </si>
  <si>
    <t>2025-07-18 20:39:26 -&gt; endodontia dente 11, sob anestesia de 1,8 ml de articaina e isolamento absoluto, obturação cone wave one gold #45/06, selamento e restauração em resina flow.</t>
  </si>
  <si>
    <t>2126505</t>
  </si>
  <si>
    <t>326772</t>
  </si>
  <si>
    <t>CAUÊ DISSY DIAS VIEIRA</t>
  </si>
  <si>
    <t>2026-09-05 13:49:38 -&gt; CIMENTAÇÃO da coroa do dente 46</t>
  </si>
  <si>
    <t>2127171</t>
  </si>
  <si>
    <t>319604</t>
  </si>
  <si>
    <t>Amélia Barboza da Silva</t>
  </si>
  <si>
    <t>Gabriela Pereira Nogueira Silva</t>
  </si>
  <si>
    <t>01.14.12.00577</t>
  </si>
  <si>
    <t>BASE DE PROVA (POR ARCADA)</t>
  </si>
  <si>
    <t>2026-09-16 14:37:24 -&gt; Primeiro contato com a paciente. Paciente necessita realizar reabertura na região do dente 26 que será realizada no próximo módulo, pois paciente não pode aguardar em DECORRÊNCIA do trabalho.</t>
  </si>
  <si>
    <t>2130345</t>
  </si>
  <si>
    <t>277048</t>
  </si>
  <si>
    <t>NARA THAIS DA SILVA MACHADO DE OLIVEIRA</t>
  </si>
  <si>
    <t>Karoliny Guimarães Benvindo</t>
  </si>
  <si>
    <t>2026-02-01 15:02:13 -&gt; PACIENTE NAO PAGOU O TRATAMENTO</t>
  </si>
  <si>
    <t>2140149</t>
  </si>
  <si>
    <t>321825</t>
  </si>
  <si>
    <t>MARIA DOS REIS ALECRIM ALMEIDA</t>
  </si>
  <si>
    <t>Edward Farias de Carvalho</t>
  </si>
  <si>
    <t>2026-08-18 12:28:47 -&gt; Paciente atendido pela alunamonique. Foi realizado novo orçamento e o paciente ainda não fechou.</t>
  </si>
  <si>
    <t>01.14.12.00046</t>
  </si>
  <si>
    <t>BARRA DE PROTOCOLO</t>
  </si>
  <si>
    <t>01.14.12.00281</t>
  </si>
  <si>
    <t>MOLDEIRA INDIVIDUAL</t>
  </si>
  <si>
    <t>01.14.12.00574</t>
  </si>
  <si>
    <t>ACRILIZACAO CARACTERIZADA DE PROTESE PROTOCOLO</t>
  </si>
  <si>
    <t>01.14.12.00632</t>
  </si>
  <si>
    <t>MONTAGEM DE DENTES - PROTOCOLO</t>
  </si>
  <si>
    <t>701.044</t>
  </si>
  <si>
    <t>IMPLANTE TITAOSS MAX CMD Ø4.3 X 11.5MM</t>
  </si>
  <si>
    <t>01.11.01.00042</t>
  </si>
  <si>
    <t>701.045</t>
  </si>
  <si>
    <t>IMPLANTE TITAOSS MAX CMD Ø4.3 X 13MM</t>
  </si>
  <si>
    <t>01.11.01.00043</t>
  </si>
  <si>
    <t>702.105</t>
  </si>
  <si>
    <t>ABUTMENT MN-CMN 2.5MM</t>
  </si>
  <si>
    <t>01.11.01.00107</t>
  </si>
  <si>
    <t>702.110</t>
  </si>
  <si>
    <t>ABUT. ANGULADO 17º MN-CMN 2.5MM</t>
  </si>
  <si>
    <t>01.11.01.00111</t>
  </si>
  <si>
    <t>704.190</t>
  </si>
  <si>
    <t>CICATRIZADOR P/ MINI ABUTMENT</t>
  </si>
  <si>
    <t>01.11.01.00214</t>
  </si>
  <si>
    <t>ANM 4800</t>
  </si>
  <si>
    <t>ANALOGO DE MINI ABUTMENT</t>
  </si>
  <si>
    <t>01.11.01.00249</t>
  </si>
  <si>
    <t>CROMO 1.3.4800</t>
  </si>
  <si>
    <t>UCLA COCR P/ MINI ABUTMENT</t>
  </si>
  <si>
    <t>01.11.01.00256</t>
  </si>
  <si>
    <t>2169126</t>
  </si>
  <si>
    <t>322578</t>
  </si>
  <si>
    <t>William Alves Rocha</t>
  </si>
  <si>
    <t>2026-09-23 14:44:49 -&gt; Ativo fio (20 aço) no arco inferior e (17x25 aço) no arco superior.</t>
  </si>
  <si>
    <t>2169651</t>
  </si>
  <si>
    <t>301739</t>
  </si>
  <si>
    <t>anallú piana pereira da silva</t>
  </si>
  <si>
    <t>Rafaela Pires Reis</t>
  </si>
  <si>
    <t>2026-09-24 21:38:58 -&gt; Fio niti termo sup 0,16x0,25 e recolagem do 24 + 0,16 niti termo inf e recolagem de tubo 46 + levante 16 e 26</t>
  </si>
  <si>
    <t>2169863</t>
  </si>
  <si>
    <t>331435</t>
  </si>
  <si>
    <t>Itania de Menezes Morato Vilela</t>
  </si>
  <si>
    <t>2026-09-02 13:57:46 -&gt; paciente usando bem o alinhador. entrega dos alinhadores 12 (troca 06/09), 13 (troca 21/09), 14 (TROCA 06/10) E 15 (TROCA 21/10).</t>
  </si>
  <si>
    <t>2198678</t>
  </si>
  <si>
    <t>328279</t>
  </si>
  <si>
    <t>JOSE RAIMUNDO NASCIMENTO DA SILVA</t>
  </si>
  <si>
    <t>Paciente solicitou mais tempo para análise.</t>
  </si>
  <si>
    <t>2026-07-15 10:24:03 -&gt; Paciente não conseguiu comparecer para realizar a cirurgia pois não reTORNOU AO MÉDICO COM O resultado dos exames.</t>
  </si>
  <si>
    <t>701.001</t>
  </si>
  <si>
    <t>IMPLANTE TITAOSS MAX CMC Ø3.5 X 7MM</t>
  </si>
  <si>
    <t>01.11.01.00026</t>
  </si>
  <si>
    <t>CIMU 3335</t>
  </si>
  <si>
    <t>CICATRIZADOR MORSE Ø3.3X3.5MM</t>
  </si>
  <si>
    <t>01.11.26.00439</t>
  </si>
  <si>
    <t>ILCM 3511N</t>
  </si>
  <si>
    <t>IMPLANTE CM Ø3,5 X 11,5MM</t>
  </si>
  <si>
    <t>01.11.26.00927</t>
  </si>
  <si>
    <t>2208383</t>
  </si>
  <si>
    <t>304134</t>
  </si>
  <si>
    <t>CARLA RIVAS MEYER</t>
  </si>
  <si>
    <t>2026-05-27 20:52:57 -&gt; Entrega contenção selfguard.
orientada a usar contenção durante o dia por 6 meses e a placa estabilizador a noite</t>
  </si>
  <si>
    <t>2216211</t>
  </si>
  <si>
    <t>331213</t>
  </si>
  <si>
    <t>Waldir Carvalho Ribeiro</t>
  </si>
  <si>
    <t>2026-09-16 14:28:36 -&gt; FOI REALIZADO A ENTREGA DA PRÓTESE MÚLTIPLA SOBRE IMPLANTES NA REGIÃO DO DENTE 45, 46 E 47.</t>
  </si>
  <si>
    <t>2216633</t>
  </si>
  <si>
    <t>2229580</t>
  </si>
  <si>
    <t>2236176</t>
  </si>
  <si>
    <t>336431</t>
  </si>
  <si>
    <t>MARINA BOMFIM AMORIM</t>
  </si>
  <si>
    <t>Gabrielle de Sousa Onofre da Silva</t>
  </si>
  <si>
    <t>E8195/25B</t>
  </si>
  <si>
    <t>2026-08-27 13:26:38 -&gt; Entrega de mais 2 placas para a paciente</t>
  </si>
  <si>
    <t>2238819</t>
  </si>
  <si>
    <t>338118</t>
  </si>
  <si>
    <t>Alzira Pereira Ramos dos Santos</t>
  </si>
  <si>
    <t>Adelar Antônio Lazzari Neto</t>
  </si>
  <si>
    <t>01.14.12.00606</t>
  </si>
  <si>
    <t>PROTESE PARCIAL REMOVIVEL COM DENTES BIOLUX - INCLUINDO ARMACAO, MONTAGEM, ACRILIZACAO E CARACTERIZACAO)</t>
  </si>
  <si>
    <t>2026-09-16 00:47:03 -&gt; em tratamento</t>
  </si>
  <si>
    <t>(código 2)</t>
  </si>
  <si>
    <t>ENVIADO PARA LABORATÓRIO -&gt; RECEBIDO DO LABORATÓRIO -&gt; (código 2)</t>
  </si>
  <si>
    <t>Não liberado</t>
  </si>
  <si>
    <t>01.14.12.00610</t>
  </si>
  <si>
    <t>PROTESE TOTAL COMPLETA COM DENTES BIOLUX (COM CARACTERIZACAO)</t>
  </si>
  <si>
    <t>2244391</t>
  </si>
  <si>
    <t>329328</t>
  </si>
  <si>
    <t>GANDHI SANTOS</t>
  </si>
  <si>
    <t>2026-09-25 17:35:21 -&gt; Anamnese</t>
  </si>
  <si>
    <t>2.1.10 -&gt; 2.1.12 -&gt; 2.1.13 -&gt; 2.1.11 -&gt; 2.1.12 -&gt; 2.1.18 -&gt; 2.1.11</t>
  </si>
  <si>
    <t>AW-1512</t>
  </si>
  <si>
    <t>CERABONE GRANULES 0.5-1.0MM,2.0CC</t>
  </si>
  <si>
    <t>STRAUMANN- STRAUMANN BRASIL LTDA</t>
  </si>
  <si>
    <t>01.11.27.00005</t>
  </si>
  <si>
    <t>AW-681520</t>
  </si>
  <si>
    <t>JASON MEMBRANE 15X20MM</t>
  </si>
  <si>
    <t>01.11.27.00031</t>
  </si>
  <si>
    <t>2244677</t>
  </si>
  <si>
    <t>281462</t>
  </si>
  <si>
    <t>antonio carlos ferreira da rocha</t>
  </si>
  <si>
    <t>2026-08-11 17:22:31 -&gt; Paciente foi embora</t>
  </si>
  <si>
    <t>117.021</t>
  </si>
  <si>
    <t>PARAFUSO DE COBERTURA GM</t>
  </si>
  <si>
    <t>01.11.17.00880</t>
  </si>
  <si>
    <t>140.948</t>
  </si>
  <si>
    <t>IMPLANTE HELIX GM 4.3X8 ACQUA</t>
  </si>
  <si>
    <t>01.11.17.01131</t>
  </si>
  <si>
    <t>16024</t>
  </si>
  <si>
    <t>BONEFILL DENSO [0,60 - 1,50 MM] | MÉDIO |</t>
  </si>
  <si>
    <t>01.11.06.00002</t>
  </si>
  <si>
    <t>2244854</t>
  </si>
  <si>
    <t>307042</t>
  </si>
  <si>
    <t>MARIA DOS REMÉDIOS LOPES SILVA ALVES LUSTOSA</t>
  </si>
  <si>
    <t>2026-09-16 14:39:02 -&gt; Paciente não compareceu à clínica.</t>
  </si>
  <si>
    <t>2250248</t>
  </si>
  <si>
    <t>301736</t>
  </si>
  <si>
    <t>PEDRO FAUSTINO REZENDE</t>
  </si>
  <si>
    <t>José Gabriel Pinto</t>
  </si>
  <si>
    <t>01.11.46.00047</t>
  </si>
  <si>
    <t>BRACKET EASYCLIP+ PASSIVO .022 ROTH/MBT PRE MOLAR SUP DIR -7°T 0°A 2°O C/1</t>
  </si>
  <si>
    <t>2026-09-23 17:00:26 -&gt; PACIENTE CONFIRMOU MAS NÃO COMPARECEU</t>
  </si>
  <si>
    <t>2250720</t>
  </si>
  <si>
    <t>335079</t>
  </si>
  <si>
    <t>DAURA Carolina de Campos Meneses</t>
  </si>
  <si>
    <t>Maria Eduarda de Oliveira Costa</t>
  </si>
  <si>
    <t>2026-09-23 14:53:17 -&gt; Manutencao Alinhador. Ipr 0.2 entre 34/35 e 44/45 pct com placa 07 e 08</t>
  </si>
  <si>
    <t>2261649</t>
  </si>
  <si>
    <t>339712</t>
  </si>
  <si>
    <t>CARLAS DA CONCEICAO SOARES</t>
  </si>
  <si>
    <t>Antônio Sérgio Guimarães</t>
  </si>
  <si>
    <t>M8207/25</t>
  </si>
  <si>
    <t>DTM</t>
  </si>
  <si>
    <t>01.14.12.00602</t>
  </si>
  <si>
    <t>PLACA MIO-RELAXANTE ACRILICA CONVENCIONAL</t>
  </si>
  <si>
    <t>Odontologia - Área de Concentração em Disfunção Temporomandibular e Dor Orofacial</t>
  </si>
  <si>
    <t>2261650</t>
  </si>
  <si>
    <t>2266349</t>
  </si>
  <si>
    <t>285709</t>
  </si>
  <si>
    <t>PRISCILLA PAZIN DA SILVA</t>
  </si>
  <si>
    <t>Stephanie Karla Tito Teixeira de Almeida</t>
  </si>
  <si>
    <t>01.11.46.00050</t>
  </si>
  <si>
    <t>BRACKET EASYCLIP+ PASSIVO .022 MBT 2° PRE MOLAR INF DIR C/G -17°T 2°A 4°O C/1</t>
  </si>
  <si>
    <t>2026-09-23 16:08:29 -&gt; Paciente não pode comparecer a manutenção na clínica do mês de agosto e no mês de setembro</t>
  </si>
  <si>
    <t>2266515</t>
  </si>
  <si>
    <t>292628</t>
  </si>
  <si>
    <t>SARAH FERNANDA DA COSTA RIBEIRO</t>
  </si>
  <si>
    <t>Lavínia Andrade Silva</t>
  </si>
  <si>
    <t>2026-10-01 18:33:32 -&gt; MANUTENÇÃO AUTOLIGADO FIO NITI COOPER 0,16 SUP E INF; RECOLAGEM TUBO 26 E BRAQUETE 35.</t>
  </si>
  <si>
    <t>2267226</t>
  </si>
  <si>
    <t>253194</t>
  </si>
  <si>
    <t>MARIA EULI ROSA DE JESUS SILVA</t>
  </si>
  <si>
    <t>Ita Josiane Pereira Marques Barros de Lima</t>
  </si>
  <si>
    <t>01.14.09.00222</t>
  </si>
  <si>
    <t>BARRA 3X3 RETA</t>
  </si>
  <si>
    <t>2026-08-04 18:16:53 -&gt; Eu , ita Josiane , não pude comparecer à clinica .</t>
  </si>
  <si>
    <t>2274890</t>
  </si>
  <si>
    <t>E8406/25B</t>
  </si>
  <si>
    <t>01.14.12.00580</t>
  </si>
  <si>
    <t>COROA EM E-MAX (DISSILICATO DE LITIO)</t>
  </si>
  <si>
    <t>2026-07-08 12:22:46 -&gt; PACIENTE COMPARECEU À CLÍNICA DE APOIO, COM O PROVISÓRIO DA REGIÃO DO 13 SOLTO. FOI FEITA A CIMENTACAO COM HIDRO C E COLOCADO RESINA FLOW NAS PROXIMAIS.</t>
  </si>
  <si>
    <t>2274969</t>
  </si>
  <si>
    <t>171872</t>
  </si>
  <si>
    <t>FRANCISCO MAIRTON MÊLO</t>
  </si>
  <si>
    <t>Aylana Waleska Oliveira da Silva</t>
  </si>
  <si>
    <t>2026-10-03 15:23:10 -&gt; Moldagem superior e inferior para enceramento diagnóstico + manutenção de prótese protocolo superior.</t>
  </si>
  <si>
    <t>01.14.12.00589</t>
  </si>
  <si>
    <t>COROA SOBRE IMPLANTE EM E-MAX - ESTRATIFICADA (SOLICITAR CILINDRO E PARAFUSO SEPARADAMENTE)</t>
  </si>
  <si>
    <t>702.486</t>
  </si>
  <si>
    <t>ABUTMENT CAD MN - 4MM</t>
  </si>
  <si>
    <t>01.11.01.00319</t>
  </si>
  <si>
    <t>702.490</t>
  </si>
  <si>
    <t>ABUTMENT CAD CMN - 4MM</t>
  </si>
  <si>
    <t>01.11.01.00327</t>
  </si>
  <si>
    <t>AAPCM</t>
  </si>
  <si>
    <t>ANALOGO DE ABUTMENT PARAFUSADO CMN</t>
  </si>
  <si>
    <t>01.11.01.00243</t>
  </si>
  <si>
    <t>TMF 4800</t>
  </si>
  <si>
    <t>TRANSFER. MOLDEIRA FECHADA P/ MINI ABUT.</t>
  </si>
  <si>
    <t>01.11.01.00300</t>
  </si>
  <si>
    <t>TMFPCM</t>
  </si>
  <si>
    <t>TRANSFER. MOLDEIRA FECH.MAX CM - PILAR</t>
  </si>
  <si>
    <t>01.11.01.00304</t>
  </si>
  <si>
    <t>2275009</t>
  </si>
  <si>
    <t>329483</t>
  </si>
  <si>
    <t>Melody Ameda de Miranda</t>
  </si>
  <si>
    <t>Higor Soares Vitorino</t>
  </si>
  <si>
    <t>2026-10-03 15:02:30 -&gt; transferida para dia 03/10/26</t>
  </si>
  <si>
    <t>2275047</t>
  </si>
  <si>
    <t>336364</t>
  </si>
  <si>
    <t>IDELBERTO BERNARDO DA SILVA</t>
  </si>
  <si>
    <t>Cecília Loyola Barreiro Bueno</t>
  </si>
  <si>
    <t>01.14.12.00608</t>
  </si>
  <si>
    <t>PROTESE PARCIAL REMOVIVEL COM DENTES TRILUX - INCLUINDO ARMACAO, MONTAGEM, ACRILIZACAO E CARACTERIZACAO)</t>
  </si>
  <si>
    <t>2026-10-03 12:11:17 -&gt; Paciente nao pode comparecer a consulta mas justificou anteriormente</t>
  </si>
  <si>
    <t>(código 4)</t>
  </si>
  <si>
    <t>ENVIADO PARA LABORATÓRIO -&gt; RECEBIDO DO LABORATÓRIO -&gt; (código 2) -&gt; (código 4)</t>
  </si>
  <si>
    <t>2275337</t>
  </si>
  <si>
    <t>94763</t>
  </si>
  <si>
    <t>CARMEN LUCIA VIEIRA DE SOUZA</t>
  </si>
  <si>
    <t>01.14.12.00588</t>
  </si>
  <si>
    <t>COROA SOBRE IMPLANTE EM E-MAX CONFECCIONADA EM BLOCO INJETADO (SOLICITAR CILINDRO E PARAFUSO SEPARADAMENTE)</t>
  </si>
  <si>
    <t>2026-05-11 18:14:00 -&gt; Paciente foi encaminhada para turma de implantodontia para colocacao de componente no implante que esta abaixo do osso, impossibilitando o andamento da parte protetica</t>
  </si>
  <si>
    <t>2.1.10 -&gt; 2.1.11 -&gt; 2.1.12 -&gt; 2.1.18 -&gt; 2.1.11</t>
  </si>
  <si>
    <t>106.174</t>
  </si>
  <si>
    <t>CICATRIZADOR CM 4.5X4.5</t>
  </si>
  <si>
    <t>01.11.17.01494</t>
  </si>
  <si>
    <t>108.152</t>
  </si>
  <si>
    <t>TRANSFER EXACT PARA IMPLANTE CM</t>
  </si>
  <si>
    <t>01.11.17.01608</t>
  </si>
  <si>
    <t>135.117</t>
  </si>
  <si>
    <t>BASE DE TITANIO CM EXACT 3.5X4X4.5</t>
  </si>
  <si>
    <t>01.11.17.01777</t>
  </si>
  <si>
    <t>2276820</t>
  </si>
  <si>
    <t>337242</t>
  </si>
  <si>
    <t>José Raimundo Brandão de Faria</t>
  </si>
  <si>
    <t>Paulo Panayote Diógenis Barros Tsolakis</t>
  </si>
  <si>
    <t>2026-08-12 13:14:38 -&gt; aluna bruna 8757 - 
Foi feito uma anamnese nele, como ele já estava com o material pago para a instalação de um implante, a gente passou a profilaxia antibiótica pra quando ele vinher em outubro</t>
  </si>
  <si>
    <t>704.192</t>
  </si>
  <si>
    <t>CICATRIZADOR P/ ABUTMENT CMN</t>
  </si>
  <si>
    <t>01.11.01.00215</t>
  </si>
  <si>
    <t>2277152</t>
  </si>
  <si>
    <t>137832</t>
  </si>
  <si>
    <t>ISMAEL ALVES ROSENDO</t>
  </si>
  <si>
    <t>Carlos Eduardo Martins Milhomem</t>
  </si>
  <si>
    <t>2026-08-19 12:48:30 -&gt; Retirada de pontos.</t>
  </si>
  <si>
    <t>2.1.10 -&gt; 2.1.12 -&gt; 2.1.12 -&gt; 2.1.13 -&gt; 2.1.13 -&gt; 2.1.11 -&gt; 2.1.12 -&gt; 2.1.18 -&gt; 2.1.11 -&gt; 2.1.18 -&gt; 2.1.11</t>
  </si>
  <si>
    <t>16964</t>
  </si>
  <si>
    <t>BONEFILL MIX [0,60-1,50 MM] | MÉDIO/MÉDIO |</t>
  </si>
  <si>
    <t>01.11.06.00008</t>
  </si>
  <si>
    <t>2277204</t>
  </si>
  <si>
    <t>2278903</t>
  </si>
  <si>
    <t>340661</t>
  </si>
  <si>
    <t>ANA CLARA DE AIRES PEIXOTO</t>
  </si>
  <si>
    <t>Manoel Messias Lopes Filho</t>
  </si>
  <si>
    <t>2026-09-23 17:13:43 -&gt; PACIENTE VIAJANDO</t>
  </si>
  <si>
    <t>2278998</t>
  </si>
  <si>
    <t>341352</t>
  </si>
  <si>
    <t>levi duraes batista da silva</t>
  </si>
  <si>
    <t>2026-09-23 17:05:49 -&gt; Paciente nao compareceu devido a mudança de cidade, mas foi deixado na recepção os 2 pares de placa para o paciente Buscar, troca nos dias 25/09(placa 3) e 10/10 (placa 4).</t>
  </si>
  <si>
    <t>2291412</t>
  </si>
  <si>
    <t>266343</t>
  </si>
  <si>
    <t>ANTONIO SOARES CAVALCANTE</t>
  </si>
  <si>
    <t>2026-09-15 20:53:17 -&gt; Avaliação-planejamento- orçamento</t>
  </si>
  <si>
    <t>135.116</t>
  </si>
  <si>
    <t>BASE DE TITANIO CM EXACT 3.5X4X3.5</t>
  </si>
  <si>
    <t>01.11.17.01778</t>
  </si>
  <si>
    <t>2292312</t>
  </si>
  <si>
    <t>336208</t>
  </si>
  <si>
    <t>ISABELLY VICTORIA LIMA SAMPAIO</t>
  </si>
  <si>
    <t>Amanda Victoria Gomes de Oliveira</t>
  </si>
  <si>
    <t>2026-05-12 12:16:23 -&gt; Paciente realizou o implante na região do dente 36, foi ultilizado o implante da sin epikut 3,5x10, cirurgia ocorreu sem intercorrência, foi instalado o tapa implante.</t>
  </si>
  <si>
    <t>2301782</t>
  </si>
  <si>
    <t>346292</t>
  </si>
  <si>
    <t>JÚLIA ZINGLE CARNEIRO DE SOUZA</t>
  </si>
  <si>
    <t>Luisa Fernanda Oviedo Paciello</t>
  </si>
  <si>
    <t>2026-09-15 14:48:42 -&gt; Paciente faltou sem justificatica
Dia 12/09 às 8:09 enviei mensagem para lembrar da consulta no dia 14/09 as 15:30h. Paciente nao respondeu
Dia 14/09 às 8:47 enviei outra mensagem para lembrar. Paciente não me respondeu.
Hoje dia 15/09/26 as 9:02  enviei mensagem para saber como estava e nao obrive resposta.
A professora pediu para enviar outra mensagem no dia 11:18 h perguntando se a paciente tinha interesse em continuar o tratamento. Nao ontive resposta</t>
  </si>
  <si>
    <t>2302080</t>
  </si>
  <si>
    <t>346365</t>
  </si>
  <si>
    <t>RAVI SANT ANA DOS SANTOS</t>
  </si>
  <si>
    <t>2341778</t>
  </si>
  <si>
    <t>351403</t>
  </si>
  <si>
    <t>MATEUS ROBERT MENDES PIO</t>
  </si>
  <si>
    <t>2342090</t>
  </si>
  <si>
    <t>348127</t>
  </si>
  <si>
    <t>maria irelda fontes</t>
  </si>
  <si>
    <t>Nathalia Bianka da Silva Sousa</t>
  </si>
  <si>
    <t>2026-10-02 17:34:40 -&gt; Preparo + cimentacao de pino de fibra de vidro + preparo de coroa total e moldagem dente 35</t>
  </si>
  <si>
    <t>2343230</t>
  </si>
  <si>
    <t>288759</t>
  </si>
  <si>
    <t>BIANCA CRUZ GOMES SA</t>
  </si>
  <si>
    <t>Eduarda Piccoli dos Anjos</t>
  </si>
  <si>
    <t>2026-09-30 16:53:59 -&gt; Troca de restauraÇão mal adaptada do dente 37 (classe ii). Anestesia do nervo alveolar inferior esquerdo e bucal, isolamento com grampo 26, remoção da resina insatisfatória com broca esférica, profilaxia com pedra pomes, sistema adesivo clearfill se bonde (2 pasos), incrementos de resina dentina (a2) e esmalte (a1) Herculite precis, fotopolimerização e acabamento.</t>
  </si>
  <si>
    <t>22288</t>
  </si>
  <si>
    <t>IMPLANTE UN III CONE MORSE AR 4.0X09</t>
  </si>
  <si>
    <t>01.11.16.00447</t>
  </si>
  <si>
    <t>2355552</t>
  </si>
  <si>
    <t>346872</t>
  </si>
  <si>
    <t>JOSE FLAVIO FIUZA LIMA</t>
  </si>
  <si>
    <t>Heloisa Gabriela Rodrigues</t>
  </si>
  <si>
    <t>2026-09-18 17:40:19 -&gt; FOI FEITO O PINO DO DENTE 35, PROXIMO MODULO SERÁ FEITO O PREPARO E A MOLDAGEM DA COROA</t>
  </si>
  <si>
    <t>2355698</t>
  </si>
  <si>
    <t>338282</t>
  </si>
  <si>
    <t>JUCILEIDE MARQUES BATISTA</t>
  </si>
  <si>
    <t>Bianca Louise Pinheiro de Carvalho</t>
  </si>
  <si>
    <t>2026-09-04 12:02:35 -&gt; Paciente faltou e pediu pra deixar marcado para o proximo modulo</t>
  </si>
  <si>
    <t>2355817</t>
  </si>
  <si>
    <t>343417</t>
  </si>
  <si>
    <t>JOSEFA HONORATO BARBOSA</t>
  </si>
  <si>
    <t>Mateus Lemos Giani de Carvalho</t>
  </si>
  <si>
    <t>PTAM 06</t>
  </si>
  <si>
    <t>CIL PROVISORIO TITA ABUT MULTIFUNC INDEX</t>
  </si>
  <si>
    <t>2026-09-04 19:09:55 -&gt; VERIFICAÇÃO DO SISTEMA DO IMPLANTE DO ELEMENTO 36 E PEDIDO DE COMPONENTE PARA CONFECÇÃO DE UMA NOVA COROA PROVISÓRIA</t>
  </si>
  <si>
    <t>01.11.26.01800</t>
  </si>
  <si>
    <t>2356205</t>
  </si>
  <si>
    <t>296752</t>
  </si>
  <si>
    <t>MARINALVA MOREIRA BORGES</t>
  </si>
  <si>
    <t>Lavínia Queiroz Cabral</t>
  </si>
  <si>
    <t>2026-07-11 10:52:36 -&gt; Outra aluna atendeu ela</t>
  </si>
  <si>
    <t>2356257</t>
  </si>
  <si>
    <t>349449</t>
  </si>
  <si>
    <t>BARBARA CAROLINE ALVARENGA DE SOUZA</t>
  </si>
  <si>
    <t>Beatriz Alvarenga de Amorim</t>
  </si>
  <si>
    <t>EH 8729/26 (B)</t>
  </si>
  <si>
    <t>01.11.23.00008</t>
  </si>
  <si>
    <t>BARB 4D - FIO ESPICULADO CANULADO (CANULA L) 0 150 MM 19G 04 UNIDADES</t>
  </si>
  <si>
    <t>2026-09-02 17:47:51 -&gt; PACIENTE AVALIADA EM RELAÇÃO AO SEU PROCEDIMENTO CIRURGICO DE LIPO DE PAPADA: PACIENTE RELATOU ESTAR SE SENTINDO SUPER BEM E AVALIADA PELA PROFISSIONAL drA. sHEILA JUNTAMENTE COM A pROF cOORDENADORA aDRIANA SALES, NA QUAL FOI CERTIFICADO DE QUE OCORREU SUPER BEM. a MESMA QUESTIONADA, RELATOU ESTAR, AINDA, FAZENDO AS DRENAGENS OBRIGATORIAS NO POS CIRURGICO.
aT,TE: dRA. sHEILA</t>
  </si>
  <si>
    <t>2356559</t>
  </si>
  <si>
    <t>247950</t>
  </si>
  <si>
    <t>ZILMARA BARBOSA DA SILVA NASCIMENTO</t>
  </si>
  <si>
    <t>Vanessa Lopes Freire</t>
  </si>
  <si>
    <t>01.11.11.00022</t>
  </si>
  <si>
    <t>CLAREAMENTO CASEIRO (COM 3 SERINGAS DE PEROXIDO DE CARBAMIDA 16%)</t>
  </si>
  <si>
    <t>2026-09-03 18:06:02 -&gt; CONTRATO FECHADO COM A PACIENT. ESTÁ MARCADA PARA INICIO DE TRATAMENTO</t>
  </si>
  <si>
    <t>01.14.12.00282</t>
  </si>
  <si>
    <t>MOLDEIRA PARA CLAREAMENTO</t>
  </si>
  <si>
    <t>2356590</t>
  </si>
  <si>
    <t>169758</t>
  </si>
  <si>
    <t>MARIA DE JESUS NUNES CABRAL</t>
  </si>
  <si>
    <t>Lavínia Cardoso dos Reis e Silva</t>
  </si>
  <si>
    <t>01.14.11.00315</t>
  </si>
  <si>
    <t>RESTAURAÇÃO SIMPLES</t>
  </si>
  <si>
    <t>2026-09-02 21:48:02 -&gt; Seleção de componentes protéticos e orçamento.</t>
  </si>
  <si>
    <t>2356638</t>
  </si>
  <si>
    <t>344617</t>
  </si>
  <si>
    <t>CAROLAINI CAMPOS DA SILVA</t>
  </si>
  <si>
    <t>2026-07-10 19:41:08 -&gt; Retratamento endodôntico – dente 26. Realizado acesso coronário, remoção da guta-percha, instrumentação dos canais palatino (P), mesiovestibular (MV) e mesiolingual (ML), irrigação intracanal e obturação dos condutos com cones 40/.06. Observação: no canal MV não foi possível realizar a obturação até o comprimento de trabalho, permanecendo cerca de 1 mm aquém do ápice radiográfico. Considerando a ausência de luz do canal no terço apical, presume-se que a saída foraminal corresponda ao nível em que a obturação foi finalizada. Paciente orientado(a) a realizar controle clínico e radiográfico periódico.</t>
  </si>
  <si>
    <t>2356641</t>
  </si>
  <si>
    <t>128004</t>
  </si>
  <si>
    <t>ELENILDA FIALHO DE MESQUITA</t>
  </si>
  <si>
    <t>01.14.12.00585</t>
  </si>
  <si>
    <t>COROA PARAFUSADA SOBRE IMPLANTE EM ZIRCONIA</t>
  </si>
  <si>
    <t>2026-09-21 13:58:21 -&gt; Retorno fios. 
Pequena aderência do lado esquerdo. paciente orientada acomparecrr à proXima clínica para soltar a aderênca , se necessário</t>
  </si>
  <si>
    <t>AMCMU 4815</t>
  </si>
  <si>
    <t>ABUT MULTIFUNCIONAL CM11,5° ALT 1,5MM</t>
  </si>
  <si>
    <t>01.11.26.01751</t>
  </si>
  <si>
    <t>ANAM</t>
  </si>
  <si>
    <t>ANALOGO DO ABUT MULTIFUNCIONAL</t>
  </si>
  <si>
    <t>01.11.26.01756</t>
  </si>
  <si>
    <t>IAMT 0406</t>
  </si>
  <si>
    <t>INTERFACE TITANIO ABUT MULTI INDEX 4,0MM</t>
  </si>
  <si>
    <t>01.11.26.01775</t>
  </si>
  <si>
    <t>PAM 48</t>
  </si>
  <si>
    <t>PROTETOR ABUT MULTIFUNCIONAL</t>
  </si>
  <si>
    <t>01.11.26.01793</t>
  </si>
  <si>
    <t>TMAAM 06</t>
  </si>
  <si>
    <t>TRANSF MOLD ABERTA ABUT MULTIFUNC INDEX</t>
  </si>
  <si>
    <t>01.11.26.01802</t>
  </si>
  <si>
    <t>2357744</t>
  </si>
  <si>
    <t>317353</t>
  </si>
  <si>
    <t>Josefa Benedita de Lima Moura</t>
  </si>
  <si>
    <t>Mariana Araújo de Oliveira</t>
  </si>
  <si>
    <t>2026-10-03 16:16:41 -&gt; prova de grade</t>
  </si>
  <si>
    <t>2366598</t>
  </si>
  <si>
    <t>272177</t>
  </si>
  <si>
    <t>maite araujo de andrade</t>
  </si>
  <si>
    <t>Ana Paula da Silva Leal</t>
  </si>
  <si>
    <t>01.14.09.00245</t>
  </si>
  <si>
    <t>APARELHO DE HAWLEY SIMPLES</t>
  </si>
  <si>
    <t>2026-10-01 10:13:36 -&gt; Moldagem para retirar aparelho e placa de hawley</t>
  </si>
  <si>
    <t>ORTOMAIS LABORATORIO DE ORTO LTDA</t>
  </si>
  <si>
    <t>2366786</t>
  </si>
  <si>
    <t>184537</t>
  </si>
  <si>
    <t>FERNANDO DA COSTA COELHO</t>
  </si>
  <si>
    <t>Francielly Fernandes Pereira de Morais</t>
  </si>
  <si>
    <t>E7697/24</t>
  </si>
  <si>
    <t>01.11.46.00045</t>
  </si>
  <si>
    <t>BRACKET EASYCLIP+ PASSIVO .022 ROTH/MBT PRE MOLAR SUP DIR C/G -7°T 0°A 2°O C/1</t>
  </si>
  <si>
    <t>2026-09-23 13:25:31 -&gt; REC 15 +CONJUGADO COM 0,25 16 AO 22 + CADEIA TOTAL 16 AO 23</t>
  </si>
  <si>
    <t>2367387</t>
  </si>
  <si>
    <t>335364</t>
  </si>
  <si>
    <t>LUCAS PIRES DOS SANTOS</t>
  </si>
  <si>
    <t>01.14.09.00244</t>
  </si>
  <si>
    <t>APARELHO DE HAWLEY C/ EXPANSOR E/OU GRADE</t>
  </si>
  <si>
    <t>2026-09-24 21:37:16 -&gt; Moldagem sup e inf - para placa com expansor</t>
  </si>
  <si>
    <t>2367397</t>
  </si>
  <si>
    <t>317023</t>
  </si>
  <si>
    <t>Davi Freitas Meyer</t>
  </si>
  <si>
    <t>2026-09-23 17:12:58 -&gt; PACIENTE SATISFEITO COM O TERMINO DO TRATAMENTO COM ALINHADOR, SOLICITADO CONTENÇÃO</t>
  </si>
  <si>
    <t>2322564</t>
  </si>
  <si>
    <t>faturado_parcialmente</t>
  </si>
  <si>
    <t>102741</t>
  </si>
  <si>
    <t>Candida Maria Moreira</t>
  </si>
  <si>
    <t>Vinicius Augusto Coelho Marques</t>
  </si>
  <si>
    <t>2026-08-08 14:02:48 -&gt; Preparos superiores, registro, e moldagem superior e inf</t>
  </si>
  <si>
    <t>702.440</t>
  </si>
  <si>
    <t>ABUTMENT CAD CME Ø3.5 X 2.5 X 4MM</t>
  </si>
  <si>
    <t>01.11.01.00315</t>
  </si>
  <si>
    <t>ACM 4000</t>
  </si>
  <si>
    <t>ANALOGO DE IMPLANTE MAX CONE MORSE</t>
  </si>
  <si>
    <t>01.11.01.00244</t>
  </si>
  <si>
    <t>TMFECM</t>
  </si>
  <si>
    <t>TRANSFER. MOLDEIRA FECH. MAX CM EXATO</t>
  </si>
  <si>
    <t>01.11.01.00303</t>
  </si>
  <si>
    <t>2371964</t>
  </si>
  <si>
    <t>2022-06-06 13:43:17 -&gt; 07/04/2021- oRÇAMENTO</t>
  </si>
  <si>
    <t>702.437</t>
  </si>
  <si>
    <t>ABUTMENT CAD CME Ø3.5 X 1 X 4MM</t>
  </si>
  <si>
    <t>01.11.01.00312</t>
  </si>
  <si>
    <t>TMFCM</t>
  </si>
  <si>
    <t>TRANSFER. MOLDEIRA FECHADA MAX CM</t>
  </si>
  <si>
    <t>01.11.01.00302</t>
  </si>
  <si>
    <t>1804006</t>
  </si>
  <si>
    <t>290528</t>
  </si>
  <si>
    <t>AUGUSTO LIMA LOPES</t>
  </si>
  <si>
    <t>2025-01-24 13:10:24 -&gt; foi realizado remoção de sutura</t>
  </si>
  <si>
    <t>1804434</t>
  </si>
  <si>
    <t>E7003/23</t>
  </si>
  <si>
    <t>01.14.12.00004</t>
  </si>
  <si>
    <t>ACRILIZAÇÃO DE PISTAS PARA PRÓTESE PARCIAL REMOVÍVEL</t>
  </si>
  <si>
    <t>01.14.12.00244</t>
  </si>
  <si>
    <t>INLAY/ONLAY CERÔMERO</t>
  </si>
  <si>
    <t>01.14.12.00292</t>
  </si>
  <si>
    <t>MONTAGEM DE DENTES PPR</t>
  </si>
  <si>
    <t>01.14.12.00570</t>
  </si>
  <si>
    <t>GRADE DE PPR(ARMAÇÃO)</t>
  </si>
  <si>
    <t>1812679</t>
  </si>
  <si>
    <t>294976</t>
  </si>
  <si>
    <t>JADERUI PINHEIRO DA ROCHA</t>
  </si>
  <si>
    <t>2024-02-02 14:47:41 -&gt; Tratamento endodontico dente 27, anestesia, isolamento, acesso, canal distal nao encontrado, preparo cervical, odontometria, p: 21 m:22, instrumentacao apical com logic 25.05 + medicacao intracanal</t>
  </si>
  <si>
    <t>1813228</t>
  </si>
  <si>
    <t>294492</t>
  </si>
  <si>
    <t>JESSICA DE JESUS RODRIGUES</t>
  </si>
  <si>
    <t>2024-12-21 18:04:28 -&gt; Realizado avaliação inicial de exodontia do 28 nega doenças de base e/ou medicações, solicito TC do elememento 38 e paciente aguarda agendamento.</t>
  </si>
  <si>
    <t>1821665</t>
  </si>
  <si>
    <t>295890</t>
  </si>
  <si>
    <t>SERENITA BELCHIOR DA SILVA</t>
  </si>
  <si>
    <t>Jacqueline Sampaio Soares</t>
  </si>
  <si>
    <t>2024-04-17 11:49:41 -&gt; paciente desistiu do tratamento.</t>
  </si>
  <si>
    <t>1828269</t>
  </si>
  <si>
    <t>1828271</t>
  </si>
  <si>
    <t>294436</t>
  </si>
  <si>
    <t>MAURO JERONIMO FERREIRA</t>
  </si>
  <si>
    <t>2024-08-30 19:56:59 -&gt; ANESTESIA; ISOLAMENTO ABSOLUTO E ACESSO COM 1012; REMOÇÃO DA MEDICAÇÃO; PREPARO CERVICAL, MÉDIO E APICAL COM LOGIC 25/05; ODONTOMETRIA E PATENCIA C/ LOGIC 25/01; AGITAÇÃO FINAL 30X20S COM HS E EASY CLEAN; PROVA DO CONE E RX; OBTURAÇÃO COM AH PLUS  + CONES ACESSÓRIOS E MCSPADDEN. RX FINAL E RESTAURAÇÃO PROVISÓRIA COM IONOFAST. ENCAMINHAMENTO PARA CLÍNICA DE DENTÍSTICA.</t>
  </si>
  <si>
    <t>1828283</t>
  </si>
  <si>
    <t>293814</t>
  </si>
  <si>
    <t>LEIDIANY MODESTO DA SILVA</t>
  </si>
  <si>
    <t>2025-02-11 12:18:40 -&gt; instalação de coroa definitiva, ajuste oclusal e interproximal, orificio fechado com resina composta</t>
  </si>
  <si>
    <t>1828286</t>
  </si>
  <si>
    <t>290805</t>
  </si>
  <si>
    <t>joão lucas  pereira fialho</t>
  </si>
  <si>
    <t>2025-05-30 12:27:07 -&gt; Falta injustificada, paciente não responde mensagens para marcação</t>
  </si>
  <si>
    <t>1828296</t>
  </si>
  <si>
    <t>296087</t>
  </si>
  <si>
    <t>JOÃO LUCIO VITAL ADRIANO</t>
  </si>
  <si>
    <t>2024-08-31 13:55:36 -&gt; Anestesia, isolamento absoluto, irrigação com hipoclorito de sódio 2,5%,confirmação da odontometria com localizador ( ML 15mm, D 18mm, MV possui lima fraturada) Instrumentação com WOG primary em ML e medium em D. protocolo de irrigação com hipoclorito 2,5%, edta 17% com easy clean e soro. radiografia, prova do cone, radiografia, secagem dos condutos com cone de papel ABSORVENTE ESTÉRIL da WOG, obturação com canal D em 17mm com cone medium E BLINDAGEM DO CONDUTO COM IOV. TENTATIVA DE REMOÇÃO DE LIMA FRATURADA DO CANAL mv.</t>
  </si>
  <si>
    <t>1828297</t>
  </si>
  <si>
    <t>1828302</t>
  </si>
  <si>
    <t>295201</t>
  </si>
  <si>
    <t>MARCELO PIRES NONATO</t>
  </si>
  <si>
    <t>2024-05-16 12:40:52 -&gt; Remoção da medicação intracanal e obturação.
Tratamento finalizado</t>
  </si>
  <si>
    <t>1848444</t>
  </si>
  <si>
    <t>282490</t>
  </si>
  <si>
    <t>maria do socorro ferreira de carvalho</t>
  </si>
  <si>
    <t>2024-05-14 12:51:19 -&gt; Agendamento duplicado</t>
  </si>
  <si>
    <t>1848451</t>
  </si>
  <si>
    <t>290817</t>
  </si>
  <si>
    <t>delma aparecida gomes montalvao</t>
  </si>
  <si>
    <t>2026-09-04 15:47:44 -&gt; Consulta. Provisorio.</t>
  </si>
  <si>
    <t>1849052</t>
  </si>
  <si>
    <t>269039</t>
  </si>
  <si>
    <t>ROSÂNGELA MISAEL DA SILVA</t>
  </si>
  <si>
    <t>Victor Hugo Couto de Melo</t>
  </si>
  <si>
    <t>E6731/22</t>
  </si>
  <si>
    <t>2025-05-13 12:35:49 -&gt; Medicação pré operatório 4 mg de Dexametasona + 1g de amoxilina 2 horas antes do procedimento, preparo da mesa cirúrgica com campo estéril, após lavagem das mãos do aluno operante, incisão com lâmina 15 após anestesia com 2 tubetes de lidocaína, remoção de osso na cabeça do implante com broca esférica, remoção tapa implante (cover) com chave 1.2, remoção do implante com chave de instalação no contra torque com a catraca, sutura fio 5.0 nylon após lavagem com soro, medição pós operatório : amox+dexa+dipirona. Remocao do implante na regiao do dente 15</t>
  </si>
  <si>
    <t>1849579</t>
  </si>
  <si>
    <t>153983</t>
  </si>
  <si>
    <t>NADIR PEREIRA GUEDES</t>
  </si>
  <si>
    <t>2026-04-14 11:51:23 -&gt; Falta justificada</t>
  </si>
  <si>
    <t>2.1.10 -&gt; 2.1.11 -&gt; 2.1.12 -&gt; 2.1.18 -&gt; 2.1.11 -&gt; 2.1.18 -&gt; 2.1.11 -&gt; 2.1.12 -&gt; 2.1.12 -&gt; 2.1.12 -&gt; 2.1.18 -&gt; 2.1.18 -&gt; 2.1.18 -&gt; 2.1.11</t>
  </si>
  <si>
    <t>701.055</t>
  </si>
  <si>
    <t>IMPLANTE TITAOSS MAX CMX Ø3.5 X 13MM</t>
  </si>
  <si>
    <t>01.11.01.00046</t>
  </si>
  <si>
    <t>701.059</t>
  </si>
  <si>
    <t>IMPLANTE TITAOSS MAX CMX Ø3.75 X 9MM</t>
  </si>
  <si>
    <t>01.11.01.00047</t>
  </si>
  <si>
    <t>1867883</t>
  </si>
  <si>
    <t>1894667</t>
  </si>
  <si>
    <t>294220</t>
  </si>
  <si>
    <t>elidiana morais</t>
  </si>
  <si>
    <t>Carla Maisa Teodoro de Mendonça Cunha</t>
  </si>
  <si>
    <t>01.14.12.00187</t>
  </si>
  <si>
    <t>ENCERAMENTO DIAGNÓSTICO POR ELEMENTO</t>
  </si>
  <si>
    <t>2025-02-21 14:32:51 -&gt; Paciente ainda nao realizou exames solicitados</t>
  </si>
  <si>
    <t>1934648</t>
  </si>
  <si>
    <t>297191</t>
  </si>
  <si>
    <t>shaeynne silva guedes</t>
  </si>
  <si>
    <t>2024-12-06 14:25:17 -&gt; anestesia com lidocaina 2 % com epinefrina 1.100.000, isolamento absoluto grampo 0, acesso broca 1012, retirada da medicação com hipoclorito, instrumentação 40.05, protocolo de agitação com edta e hipoclorito, secagem do canal prova do cone, obturação cimento ah plus, blindagem , rc temporária, paciente encaminhada para reabilitação do dente 15</t>
  </si>
  <si>
    <t>1934681</t>
  </si>
  <si>
    <t>296838</t>
  </si>
  <si>
    <t>ILDA DOS SANTOS FERNANDES</t>
  </si>
  <si>
    <t>2024-09-02 12:38:26 -&gt; Anestesia , isolamento , acesso coronario , localizacao canais , instrumentação com limas rotatorias e manuais , protocolo de irrigacao com hipoclorito easy clean , ponta utrasonica , obturacao do canal medindo 22 mm com cimento hplus. Paciente encaminhada para restauracao final com protese ou dentistica</t>
  </si>
  <si>
    <t>1934693</t>
  </si>
  <si>
    <t>108971</t>
  </si>
  <si>
    <t>JERSON MARCE RUIZ UGARTE</t>
  </si>
  <si>
    <t>2024-10-04 14:23:46 -&gt; ANESTESIA n ALVEOLAR INFERIOR E INFILTRATIVA, ISOLAMENTO ABSOLUTO, REMOÇÃO DE SELAMENTO PROVISÓRIO E MEDICAÇÃO, PREPARO CERVICAL E MEDIO COM LOGIC 25.05 EM 14 MM, ODONTOMETRIA COM LOCALIZADOR, PREPARO APICAL COM 25.05 EM ct (mv e ml em 20mm, e d 21mm). protocolo de irrigação com hipoclorito 2.5%, edta 17% sob agitação com easy clean (3x de 20s), e soro, prova do cone (MV E ML 25.05 E d 30.05), RADIOGRAFIA, SECAGEM DOS CONDUTOS, CIMENTAÇÃO COM AH PLUS JET 300, RADIOGRAFIA, CONDENSAÇÃO VERTICAL E LATERAL (CONES ACESSÓRIOS) COM MC SPADDEN E CALCADOR, BLINDAGEM DOS CONDUTOS e selamento provisório com IOV. Radiografia final</t>
  </si>
  <si>
    <t>1934703</t>
  </si>
  <si>
    <t>295083</t>
  </si>
  <si>
    <t>PRISCILLA LIMA DOS REIS  ARRUDA</t>
  </si>
  <si>
    <t>Andressa Santos de Freitas</t>
  </si>
  <si>
    <t>2026-09-23 17:04:10 -&gt; Manutenção de aparelho autoligado. Fio superior 0,016 × 0,022 termoativado e fio inferior 0,016 termoativado.</t>
  </si>
  <si>
    <t>1940835</t>
  </si>
  <si>
    <t>273229</t>
  </si>
  <si>
    <t>NEOMISIA ALVES DE PINHO</t>
  </si>
  <si>
    <t>2026-09-24 11:51:32 -&gt; atendimento realizado pelo aluno paulo da turma 8757
paciente relata “dor ao encostar o dedo na região anterior inferior” (sic). Ao exame clínico, região sem alterações aparentes, sem sinais clínicos de inflamação ou infecção, sem edema, ou outras alterações locais observáveis no momento da avaliação. paciente orientada a entrar em contato caso apresente alguma mudança na sintomatologia</t>
  </si>
  <si>
    <t>1940837</t>
  </si>
  <si>
    <t>1957873</t>
  </si>
  <si>
    <t>308653</t>
  </si>
  <si>
    <t>AMANDA THAMIRIS SANTANA DE LIMA</t>
  </si>
  <si>
    <t>2026-07-04 14:11:37 -&gt; Cimentacao de coroa do dente 36 e CONCLUSÃO do tratamento</t>
  </si>
  <si>
    <t>1957875</t>
  </si>
  <si>
    <t>1962837</t>
  </si>
  <si>
    <t>306609</t>
  </si>
  <si>
    <t>GILDAZIO FERREIRA BRITO</t>
  </si>
  <si>
    <t>César dos Santos Martins</t>
  </si>
  <si>
    <t>2026-06-10 16:09:49 -&gt; Implantes cirurgia dente 14,16,26</t>
  </si>
  <si>
    <t>1992284</t>
  </si>
  <si>
    <t>290224</t>
  </si>
  <si>
    <t>jonathas souza de almeida</t>
  </si>
  <si>
    <t>01.11.46.00034</t>
  </si>
  <si>
    <t>BRACKET EASYCLIP+ PASSIVO .022 MBT INCISIVO INF UNIV -6°T 0°A 0°O C/1</t>
  </si>
  <si>
    <t>2026-09-23 18:05:35 -&gt; MANTIVE FIOS, RETIREI ELÁSTICO CORRENTE QUE ESTAVA AMARRILHADO AO MINI IMPLANTE, COLOQUEI MOLA ABERTA PARA ABRIR ESPAÇO NO 33, INCISIVOS INFERIORES PERMANECEM AMARRILHADOS</t>
  </si>
  <si>
    <t>1996661</t>
  </si>
  <si>
    <t>310756</t>
  </si>
  <si>
    <t>ALZILEIDE AMÂNCIO DA SILVA</t>
  </si>
  <si>
    <t>Leonardo de Lucas Cavalcante</t>
  </si>
  <si>
    <t>2025-06-04 17:39:32 -&gt; paciente falrou, disse que irá participar no próximo mês</t>
  </si>
  <si>
    <t>1997060</t>
  </si>
  <si>
    <t>294868</t>
  </si>
  <si>
    <t>eliana dos santos almeida</t>
  </si>
  <si>
    <t>2025-03-26 18:47:52 -&gt; PACIENTE ESTAVA COM A PA ELEVADA E NÃO PODE REALIZAR A CIRURGIA NO DIA.</t>
  </si>
  <si>
    <t>1997112</t>
  </si>
  <si>
    <t>311557</t>
  </si>
  <si>
    <t>Ryan Nunes Neri</t>
  </si>
  <si>
    <t>2025-01-10 16:32:30 -&gt; FOI REALIZADO ANESTESIA COM ARTICAÍNA 2 TUBETES , ISOLAMENTO ABSOLUTO,ACESSO , REMOÇÃO DE MEDICAÇÃO , INSTRUMENTAÇÃO DE TERÇO APICAL , ODONTOMETRIA DOS 4 CONDUTOS ( MV21 / ML 22 / DV 21 / DL 21 MM ) , PROTOCOLO DE IRRIGAÇÃO ( HIPOCLORITO E EASY CLEAN ) , OBTURAÇÃO COM CIMENTO AH PLUS , SELAMENTO PROVISÓRIO COM IONOFAST , PACIENTE CIENTE QUE DEVERÁ COMPARECER A CLINICA  ( PARTICULAR OU DENTISTICA PELA PRÓPRIA INSTITUIÇÃO ) .</t>
  </si>
  <si>
    <t>1998398</t>
  </si>
  <si>
    <t>1999567</t>
  </si>
  <si>
    <t>2008988</t>
  </si>
  <si>
    <t>307322</t>
  </si>
  <si>
    <t>ANDREA BATISTA NASCIMENTO</t>
  </si>
  <si>
    <t>2025-02-07 20:14:19 -&gt; ANESTESIA, ISOLAMENTO ABSOLUTO EM ÚNICO DENTE, REMOÇÃO DA RESTAURAÇÃO PROVISÓRIA, REMOÇÃO DA M.I., INSTRUMENTAÇÃO COM LIMA PRIMARY (#25.07) DA WOG, PROTOCOLO DE AGITAÇÃO , PROVA DO CONE, OBTURAÇÃO DOS CANAIS COM AH PLUS, BLINDAGEM DOS CANAIS, RESTAURAÇÃO PROVISÓRIA, RAIO X FINAL.</t>
  </si>
  <si>
    <t>2009101</t>
  </si>
  <si>
    <t>176738</t>
  </si>
  <si>
    <t>LUIZ CARLOS DE OLIVEIRA BARBOSA</t>
  </si>
  <si>
    <t>Jinah Choi</t>
  </si>
  <si>
    <t>2026-10-03 14:32:14 -&gt; ​Realizada moldagem de precisão com silicone de adição  dos arcos superior e inferior  para confecção de Coroa Emax 
​Reanatomização/reajuste da coroa provisória, seguida de cimentação temporária.
​Envio ao Laboratório, 
​Os moldeiras foram enviados ao laboratório de prótese dentária  para confecção da coroa definitiva.
​Especificação de Cor: Corpo em A2 e Bordo Incisal em A1 (escala VITA Classical),  deveriam  conferir as fotos</t>
  </si>
  <si>
    <t>2011105</t>
  </si>
  <si>
    <t>2026020</t>
  </si>
  <si>
    <t>2027086</t>
  </si>
  <si>
    <t>2027144</t>
  </si>
  <si>
    <t>317885</t>
  </si>
  <si>
    <t>Maria Laura Dos Santos Dourado</t>
  </si>
  <si>
    <t>2025-04-04 19:55:11 -&gt; Radiografia, anestesia, isolamento absoluto, remoção da restauração provisória, remoção da m.i., instrumentação com limas manuais #35 e #45, odontometria: 25mm. protocolo de agitação com easy clean, prova do cone, obturação com bio c sealer, selamento com civ, radiografia final.</t>
  </si>
  <si>
    <t>2027587</t>
  </si>
  <si>
    <t>317928</t>
  </si>
  <si>
    <t>miguel felix dos santos dias</t>
  </si>
  <si>
    <t>Noelma Souza Freitas Rodrigues</t>
  </si>
  <si>
    <t>2025-06-26 15:58:19 -&gt; anamnese e encaminhado para a clinica de dentistica para posteriormente iniciar o tratamento ortodontico</t>
  </si>
  <si>
    <t>2027791</t>
  </si>
  <si>
    <t>299583</t>
  </si>
  <si>
    <t>TAÍS LOPES DE SOUZA</t>
  </si>
  <si>
    <t>2025-02-07 19:37:07 -&gt; PACIENTE COMPARECEU QUEIXANDO-SE DE COROA DO 11 QUA HAVIA SOLTADO, BORDA INCISAL DO 12 QUEBRADA E DENTE 26 COM DOR PROVOCADA. dENTE 11 ENCAMINHADO PARA PRÓTESE (PINO E COROA), DENTE 12 ENCAMINHADO PARA DENTÍSTICA, E NO DENTE 26, FIZEMOS A REMOÇÃO DE UMA EXTENSA LESÃO CARIOSA COM CUIDADO, EM SEGUIDA ISOLAMENTO ABSOLUTO, LIMPEZA DA CAMÂRA PULPAR COM CLOREXIDINA GEL 2%, CAPEAMENTO PULPAR DIRETO, RESTAURAÇÃO EM CIV.</t>
  </si>
  <si>
    <t>2027860</t>
  </si>
  <si>
    <t>2027875</t>
  </si>
  <si>
    <t>107495</t>
  </si>
  <si>
    <t>GRACILIANO MARQUES DE CARVALHO</t>
  </si>
  <si>
    <t>2026-09-05 13:51:53 -&gt; Paciente remarcado para outubro</t>
  </si>
  <si>
    <t>2029352</t>
  </si>
  <si>
    <t>260781</t>
  </si>
  <si>
    <t>JOSÉ CARLOS MALAQUIAS PEREIRA DA SILVA</t>
  </si>
  <si>
    <t>2026-03-06 14:32:38 -&gt; Planejamento financeiro</t>
  </si>
  <si>
    <t>2.1.10 -&gt; 2.1.11 -&gt; 2.1.12 -&gt; 2.1.18 -&gt; 2.1.11 -&gt; 2.1.18 -&gt; 2.1.11 -&gt; 2.1.13 -&gt; 2.1.12 -&gt; 2.1.12 -&gt; 2.1.12 -&gt; 2.1.19 -&gt; 2.1.13 -&gt; 2.1.13 -&gt; 2.1.18</t>
  </si>
  <si>
    <t>2.1.18</t>
  </si>
  <si>
    <t>701.038</t>
  </si>
  <si>
    <t>IMPLANTE TITAOSS MAX CMD Ø3.5 X 10MM</t>
  </si>
  <si>
    <t>01.11.01.00037</t>
  </si>
  <si>
    <t>702.098</t>
  </si>
  <si>
    <t>ABUTMENT CMN 1.5MM</t>
  </si>
  <si>
    <t>01.11.01.00101</t>
  </si>
  <si>
    <t>702.291</t>
  </si>
  <si>
    <t>ABUTMENT PROVISORIO PARAFUS.MAX CM</t>
  </si>
  <si>
    <t>01.11.01.00163</t>
  </si>
  <si>
    <t>2029733</t>
  </si>
  <si>
    <t>306942</t>
  </si>
  <si>
    <t>KIANNY COSTA SANTANA</t>
  </si>
  <si>
    <t>2026-09-02 14:49:56 -&gt; Tratamento ortodôntico e manutenção mecânica</t>
  </si>
  <si>
    <t>2042044</t>
  </si>
  <si>
    <t>305491</t>
  </si>
  <si>
    <t>martinho borges de lira neto</t>
  </si>
  <si>
    <t>Welton Esteves de Campos Júnior</t>
  </si>
  <si>
    <t>2026-09-22 13:05:03 -&gt; paciente compareceu foi instalado coroa permanente, feito ajuste oclusal e tratamento finalizado</t>
  </si>
  <si>
    <t>2051312</t>
  </si>
  <si>
    <t>305331</t>
  </si>
  <si>
    <t>MARCIO ANDRÉ DE LIMA PINHEIRO</t>
  </si>
  <si>
    <t>2025-03-21 13:05:52 -&gt; Abertura, instrumentação, obturação canal vestibular , prp e cotosol ! Foi solicitado tomografia para VERIFICAR a presença do canal lingual e a suspeita de outro terceiro canal! Encaminhado para próxima consulta</t>
  </si>
  <si>
    <t>2051375</t>
  </si>
  <si>
    <t>320287</t>
  </si>
  <si>
    <t>Ana Paula leite Guimarães Araújo</t>
  </si>
  <si>
    <t>2025-03-20 23:53:37 -&gt; Dente 14. Inicio e finalização do TRATAMENTO. Comprimento de trabalho 18 mm, lima 35(wave one gold) cimento ahplus, RESTAURAÇÃO final.</t>
  </si>
  <si>
    <t>2051694</t>
  </si>
  <si>
    <t>302591</t>
  </si>
  <si>
    <t>MARIA DO SOCORRO NUNES</t>
  </si>
  <si>
    <t>2025-04-25 20:24:47 -&gt; Abertura coronária; instrumentação até #45.05 em 21 mm. Obturação apical. Pino fibra de vidro. Resina bulkflow. Dente 33.</t>
  </si>
  <si>
    <t>2051714</t>
  </si>
  <si>
    <t>165008</t>
  </si>
  <si>
    <t>DAVI LUCAS DE LIMA guimaraes araujo</t>
  </si>
  <si>
    <t>2025-04-11 18:07:50 -&gt; paciente não compareceu na consulta e não justificou.</t>
  </si>
  <si>
    <t>2051785</t>
  </si>
  <si>
    <t>301540</t>
  </si>
  <si>
    <t>LAYANE PEREIRA MARQUES</t>
  </si>
  <si>
    <t>2025-05-22 16:53:30 -&gt; Anestesia, isolamento, remoção da cárie, tratamento endodôntico dente 45</t>
  </si>
  <si>
    <t>2056560</t>
  </si>
  <si>
    <t>177174</t>
  </si>
  <si>
    <t>ISABELA MARIA DA SILVA MORAES</t>
  </si>
  <si>
    <t>2026-09-23 14:43:39 -&gt; Mantenho fios sup. e inf.; coloco ELÁSTICO corrente dos dentes 33 ao 42; amarrilho conjugado no arco superior.</t>
  </si>
  <si>
    <t>2060904</t>
  </si>
  <si>
    <t>316975</t>
  </si>
  <si>
    <t>Regine Cruz araujo</t>
  </si>
  <si>
    <t>2025-05-11 22:37:53 -&gt; REALIZADO ANESTESIA, ISOLAMENTO, REMOCAO DE MEDICACAO INTRACANAL , NOVA ODONTOMETRIA ( 20 MM ) OBTURACAO COM AH PLUS 
PACIENTE FINALIZADA !</t>
  </si>
  <si>
    <t>2062245</t>
  </si>
  <si>
    <t>298221</t>
  </si>
  <si>
    <t>adriana dias lisboa</t>
  </si>
  <si>
    <t>2025-05-09 19:13:52 -&gt; ANESTESIA COM MEPIVACAÍNA COM VASO, RETIRADA DE COROA PROVISÓRIA, ISOLAMENTO ABSOLUTO COM GRAMPO 0, IRRIGAÇÃO COM HIPOCLORITO, EXPLORAÇÃO COM LIMA 10 E 25, ODONTOMETRIA, PROTOCOLO DE AGITAÇÃO COM EASY CLEAN, SECAGEM DOS CONDUTOS, PROVA DO CONE, OBTURAÇÃO COM AH PLUS E REPOSICIONAMENTO DE COROA PROVISÓRIA. ODT: 17MM EM AMBOS OS CONDUTOS VESTIBULAR E PALATINO</t>
  </si>
  <si>
    <t>2062502</t>
  </si>
  <si>
    <t>320787</t>
  </si>
  <si>
    <t>Sérgio Vitorio Portela corte</t>
  </si>
  <si>
    <t>2025-06-27 20:29:04 -&gt; Remoção da guta percha e instalação do pino de fibra de vidro. Selamento com resina Flow e restauração com resina composta.</t>
  </si>
  <si>
    <t>2069659</t>
  </si>
  <si>
    <t>285386</t>
  </si>
  <si>
    <t>maria edimilsa sousa santos</t>
  </si>
  <si>
    <t>2025-06-04 12:07:18 -&gt; Paciente compareceu à clínica de apoio, relatando sensibilidade no local onde foi removido o tecido, para realização de enxerto na região do dente 21. Relatou também que a narina do lado esquerdo está ressecada e que as vezes sente umas pontadas na região superior esquerda da face. Entrei em contato com professor Morelli e enviei fotos da região operada e ele respondeu que a região está com aspecto de cicatrização normal. Foi orientado por ele a fazer uma sessão de laser terapia na região operada, para dar mais conforto a paciente. Pediu a MESMA para que retorne na terça-feira dia 10/6/2025, para ele mesmo avaliar a paciente.</t>
  </si>
  <si>
    <t>2072541</t>
  </si>
  <si>
    <t>320888</t>
  </si>
  <si>
    <t>dinalcy pereira dos santos tertuliano</t>
  </si>
  <si>
    <t>Mariana Lustosa Guedes</t>
  </si>
  <si>
    <t>2026-09-02 03:44:31 -&gt; pct comparece para apresentação do plano de tratamento para confecção de PPA provisória dos elementos 15 e 25; solicitação de tomografia para implantodontia dos elementos 15, 25 e 47. pct relata que só vai decidir fazer a ppa após orçamento dos implantes. pct orientada a realizar a tomo e retornar para triagem da implanto.</t>
  </si>
  <si>
    <t>2072594</t>
  </si>
  <si>
    <t>319956</t>
  </si>
  <si>
    <t>Manuela Pietra Fernandes Dias</t>
  </si>
  <si>
    <t>Brena Freire de Souza</t>
  </si>
  <si>
    <t>2025-05-12 13:47:42 -&gt; Foi realizado uma nova avaliação na paciente após a finalização do tratamento endodontico, e foram feitas duas restaurações com riva self encapsulado nos dentes 36 (o) e 45 (o-d).
O dente 16 foi encaminhado para exodontia pois o tratamento endodontico seria inviável.
A responsável da paciente foi orientada a procurar em outras instituições a realização do procedimento cirúrgico, pois se tratava de um dente permanente.
Além disso,foi entregue e explicado  para a responsável a documentação ortodontica na qual trará na próxima consulta.</t>
  </si>
  <si>
    <t>2072595</t>
  </si>
  <si>
    <t>298397</t>
  </si>
  <si>
    <t>ELMA OLIVEIRA MENDES</t>
  </si>
  <si>
    <t>2026-01-15 11:13:29 -&gt; PACIENTE deamarcou a consulta antecipadamente</t>
  </si>
  <si>
    <t>2072623</t>
  </si>
  <si>
    <t>2072673</t>
  </si>
  <si>
    <t>275656</t>
  </si>
  <si>
    <t>ANA PAULA LIMA RODRIGUES</t>
  </si>
  <si>
    <t>2026-08-18 19:15:28 -&gt; Paciente compareceu à clínica de apoio com fratura no elemento 16. Foi orientada que deverá procurar atendimento para fazer a remoção do fragmento, e posteriormente voltar à faculdade para fazer o orçamento de implante. Paciente perdeu a coroa do dente 36 será encaminhada para a turma de prótese novamente para fazer nova coroa.</t>
  </si>
  <si>
    <t>2072676</t>
  </si>
  <si>
    <t>322281</t>
  </si>
  <si>
    <t>Maria do Espirito santos Cabral de sousa</t>
  </si>
  <si>
    <t>2025-05-23 13:47:05 -&gt; Tratamento endodôntico dente 26</t>
  </si>
  <si>
    <t>2072697</t>
  </si>
  <si>
    <t>299095</t>
  </si>
  <si>
    <t>FLÁVIA DOS SANTOS ARAUJO</t>
  </si>
  <si>
    <t>2025-04-24 15:59:24 -&gt; abertura coronaria; instrumentação em 24mm; obturação sealer 26; pino fibra de vidro canal p; bilindagem resina bulkflow. paciente encaminhada para protese nesse dente (24/25).</t>
  </si>
  <si>
    <t>2072702</t>
  </si>
  <si>
    <t>283721</t>
  </si>
  <si>
    <t>maria da penha dos santos</t>
  </si>
  <si>
    <t>2025-04-24 20:59:48 -&gt; Endodontia Dente 15 2 condutos v e p crt 25 mm
Obturacao apical e colocacao de 2 pinos.
Encaminhada para reabilitacao.</t>
  </si>
  <si>
    <t>2072714</t>
  </si>
  <si>
    <t>288011</t>
  </si>
  <si>
    <t>elziana ethel almeida leao</t>
  </si>
  <si>
    <t>2025-06-25 12:46:17 -&gt; Tratamento finalizado</t>
  </si>
  <si>
    <t>2072732</t>
  </si>
  <si>
    <t>292384</t>
  </si>
  <si>
    <t>maria das graças ferreira de oliveira</t>
  </si>
  <si>
    <t>2026-05-09 19:09:38 -&gt; Foi realizada a cimentacao do dente 25</t>
  </si>
  <si>
    <t>2072735</t>
  </si>
  <si>
    <t>321621</t>
  </si>
  <si>
    <t>Laura Monteiro Nonato</t>
  </si>
  <si>
    <t>2026-06-16 00:49:28 -&gt; Cimentação da coroa definitiva do elemento 25</t>
  </si>
  <si>
    <t>2072739</t>
  </si>
  <si>
    <t>305375</t>
  </si>
  <si>
    <t>taynara moura aguiar</t>
  </si>
  <si>
    <t>Yasmim Ferreira de Aquino</t>
  </si>
  <si>
    <t>2026-10-03 12:09:58 -&gt; Paciente compareceu a clínica para a entrega da coroa, entretanto A coroa estava trincada, foi solicitada uma nova coroa</t>
  </si>
  <si>
    <t>2072748</t>
  </si>
  <si>
    <t>320931</t>
  </si>
  <si>
    <t>Ariana Patrícia de Souza</t>
  </si>
  <si>
    <t>2025-06-26 12:35:42 -&gt; paciente agendada errado.</t>
  </si>
  <si>
    <t>2073058</t>
  </si>
  <si>
    <t>322570</t>
  </si>
  <si>
    <t>maria eduarda de souza oliveira macario</t>
  </si>
  <si>
    <t>2025-05-24 00:29:27 -&gt; Abertura CORONÁRIA, LOCALIZAÇÃO dos canais, preparo cervical com orifice shape, odontometria (D=22 e M=23), pqm completo com sistema wave one (D=45.06 e m=25.06). Aumento de permeabilidade DEntinaria (3x20s com hipoclorito e edta) e IRRIGAÇÃO final com soro FISIOLÓGICO. OBTURAÇÃO com endo fill (d=45.06 e m=36.06), tendo OBTURAÇÃO lateral no canal distal. Selamento com coltosol e RESTAURAção definitiva em resina composta faces od.</t>
  </si>
  <si>
    <t>2073062</t>
  </si>
  <si>
    <t>2073203</t>
  </si>
  <si>
    <t>2074135</t>
  </si>
  <si>
    <t>320932</t>
  </si>
  <si>
    <t>Isabelle Natália Braga de Souza</t>
  </si>
  <si>
    <t>2026-09-23 19:52:23 -&gt; AVALIAÇÃO ORTODÔNTICA E ENCAMINHAMENTO PARA REALIZAR TRATAMENTO CLINICO.</t>
  </si>
  <si>
    <t>2074155</t>
  </si>
  <si>
    <t>2074388</t>
  </si>
  <si>
    <t>302509</t>
  </si>
  <si>
    <t>cicero alexandre goss</t>
  </si>
  <si>
    <t>2026-09-11 19:43:46 -&gt; anamnese periodontal. há retrações gengivais com bom potencial de recobrimento, mas é necessário que o pct pare de fumar para cirurgia de recobrimento. dente 37 comprometido, mobilidade grau 1 e lesão de furca grau 3 e profundidade de sondagem 10mm - recomendado exo, enxerto e implante</t>
  </si>
  <si>
    <t>2082824</t>
  </si>
  <si>
    <t>168385</t>
  </si>
  <si>
    <t>DHENEFFER SANTANA NASCIMENTO</t>
  </si>
  <si>
    <t>2025-05-09 15:48:43 -&gt; Foi realizada reinstrumentação dos canais mv, ml, dv, Dl com 14mm cada, lavagem, remoção de medicação, protocolo de irrigação, lavagem com soro, secagem com cone de papel e  OBTURAÇÃO dos canais com guta percha e cimento ah plus.</t>
  </si>
  <si>
    <t>2084263</t>
  </si>
  <si>
    <t>2090601</t>
  </si>
  <si>
    <t>322498</t>
  </si>
  <si>
    <t>ALESSANDRA DOS SANTOS TAVARES</t>
  </si>
  <si>
    <t>2025-05-24 17:24:03 -&gt; Abertura coronaria. Instrumentação wg #25.06. agitação hipoclorito e edta. Obturação sealer 26. Odontometria: 23mm. Blindagem resina flow. Dente 14.</t>
  </si>
  <si>
    <t>2090733</t>
  </si>
  <si>
    <t>323436</t>
  </si>
  <si>
    <t>Roseli Rodrigues da Costa</t>
  </si>
  <si>
    <t>2025-06-05 20:34:03 -&gt; Foi realizada a profilaxia em boca toda.</t>
  </si>
  <si>
    <t>2090763</t>
  </si>
  <si>
    <t>320695</t>
  </si>
  <si>
    <t>Inacio Sadovski</t>
  </si>
  <si>
    <t>2026-03-07 11:52:45 -&gt; Remocao de mock up.</t>
  </si>
  <si>
    <t>2090772</t>
  </si>
  <si>
    <t>323244</t>
  </si>
  <si>
    <t>Maria José Teles Coelho Xavier</t>
  </si>
  <si>
    <t>2025-05-21 20:34:27 -&gt; trat endodontico dente 23, obturação com 24 mm de comprimento de trabalho, selamento da cavidade e restauração final.</t>
  </si>
  <si>
    <t>2090806</t>
  </si>
  <si>
    <t>323473</t>
  </si>
  <si>
    <t>Tatiane Pinheiro Marques</t>
  </si>
  <si>
    <t>2026-09-16 03:20:02 -&gt; Foi feito a consulta de triagem para iniciar o tratamento, feita a ficha de anamnese, queixa principal, ficha medica e odontologica, avaliação radiografica, planejamento previa de tratamento, orçamento. paciente foi encaminhada para o financeiro.</t>
  </si>
  <si>
    <t>2091090</t>
  </si>
  <si>
    <t>317463</t>
  </si>
  <si>
    <t>dANIELA SALAZAR PIRES BATISTA</t>
  </si>
  <si>
    <t>2025-04-02 01:44:36 -&gt; foi realizado consulta de primeira vez com triagem e planejamento de cirurgia de exodontia dos elementos 18, 28, 38, 46 e 48; e encaminhamento para tratamento endodôntico do elemento 25.</t>
  </si>
  <si>
    <t>2091107</t>
  </si>
  <si>
    <t>323917</t>
  </si>
  <si>
    <t>LEANDRO DA SILVA ARAUJO</t>
  </si>
  <si>
    <t>2025-10-27 17:17:49 -&gt; .</t>
  </si>
  <si>
    <t>2091167</t>
  </si>
  <si>
    <t>323856</t>
  </si>
  <si>
    <t>Selma Alexandre de Mesquita</t>
  </si>
  <si>
    <t>2025-05-23 21:52:37 -&gt; ENDODONTIA DO DENTE 17, SEM INTERCORRÊNCIAS. FORAM UTILIZADOS 2 TUBETES DE LIDOCAÍNA COM EPINEFRINA. CAD: 21MM, 20MM E 21MM. CANAL FINALIZADO E OBTURADO COM CIMENTO RESINOSO. PACIENTE ENCAMINHADA PARA PRÓTESE.</t>
  </si>
  <si>
    <t>2091595</t>
  </si>
  <si>
    <t>323989</t>
  </si>
  <si>
    <t>ELENICE LUIZA DE JESUS DE SOUZA</t>
  </si>
  <si>
    <t>Élida Silva de Araujo</t>
  </si>
  <si>
    <t>2026-09-12 22:36:15 -&gt; Marcado para avaliação no dia 15/10/2026.</t>
  </si>
  <si>
    <t>2091619</t>
  </si>
  <si>
    <t>323791</t>
  </si>
  <si>
    <t>Yan Guilherme Freitas da Silva</t>
  </si>
  <si>
    <t>2025-08-22 12:41:16 -&gt; Avaliação e rx do dente 47. teste de vitalidade pulpar positivo, o dente vai ser acompanhado por mais 2 meses.</t>
  </si>
  <si>
    <t>2091730</t>
  </si>
  <si>
    <t>324031</t>
  </si>
  <si>
    <t>Rosilene neves dos Santos</t>
  </si>
  <si>
    <t>2025-10-16 15:15:52 -&gt; paciente retornou e foi feito o tratamento endodontico do dente 27; acessado, instrumentado e fechado com cone 45.06 (p) 35.06 (m,d) cimento ah plus; selado com resina flow e resina composta</t>
  </si>
  <si>
    <t>2092441</t>
  </si>
  <si>
    <t>319021</t>
  </si>
  <si>
    <t>MARLI PEREIRA DA ROCHA</t>
  </si>
  <si>
    <t>2025-11-19 22:07:43 -&gt; anestesia, isolamento absoluto dente 44, remoção de coroa provisória dente 44, desobturação com ultrasson para cimentação do pino de fibra de vibra e posterior cimentação da coroa de porcelana antiga da paciente mesmo. rx final.</t>
  </si>
  <si>
    <t>2102057</t>
  </si>
  <si>
    <t>2111670</t>
  </si>
  <si>
    <t>274274</t>
  </si>
  <si>
    <t>ALDETE PEREIRA PINTO</t>
  </si>
  <si>
    <t>2025-07-17 21:17:59 -&gt; Foi finalizado tratamento Endodontico do dente 34, foi feito encaminhamen para ortodontia paciente tem intere em fechar os espaços interdentais. Paciente ja possui implantes. Deve passar por avali para ver a indicação</t>
  </si>
  <si>
    <t>2111766</t>
  </si>
  <si>
    <t>323539</t>
  </si>
  <si>
    <t>DANIELA DIAS DA SILVA</t>
  </si>
  <si>
    <t>2026-03-27 10:41:36 -&gt; Paciente nao aguardou. Chegou atrasada e nao esperou ser atendida</t>
  </si>
  <si>
    <t>2111804</t>
  </si>
  <si>
    <t>282803</t>
  </si>
  <si>
    <t>Reginalda Moura da Silva</t>
  </si>
  <si>
    <t>2026-09-16 14:19:24 -&gt; Foi realizado a reabertura do implante na região do dente 11 e instalado o cilindro e dente provisório.</t>
  </si>
  <si>
    <t>2113843</t>
  </si>
  <si>
    <t>326460</t>
  </si>
  <si>
    <t>ELMA FERREIRA DE OLIVEIRA</t>
  </si>
  <si>
    <t>2026-06-23 19:02:59 -&gt; Foi realizada a remoção de sutura, regiao com bom aspecto de cicatrização.</t>
  </si>
  <si>
    <t>2114018</t>
  </si>
  <si>
    <t>169733</t>
  </si>
  <si>
    <t>ROBSON ROSA DE JESUS</t>
  </si>
  <si>
    <t>2026-10-03 12:17:11 -&gt; moldagem arco inferior</t>
  </si>
  <si>
    <t>2114426</t>
  </si>
  <si>
    <t>325687</t>
  </si>
  <si>
    <t>Lina Lúcia de Sampaio Tinoco</t>
  </si>
  <si>
    <t>2026-06-20 16:27:58 -&gt; Paciente retornou para controle clínico e radiográfico. Radiografia periapical evidenciou regressão da lesão apical, com redução da área radiolúcida e sinais de formação óssea. Observa-se lesão lateral persistente. Paciente foi orientado a realizar reabilitação para restabelecimento do ponto de contato, sendo mantido acompanhamento para avaliação da regressão da lesão.</t>
  </si>
  <si>
    <t>2114956</t>
  </si>
  <si>
    <t>326511</t>
  </si>
  <si>
    <t>Adelia Soares da Silva</t>
  </si>
  <si>
    <t>2026-09-23 19:43:35 -&gt; Avaliação para ortodontia e encaminhamento para clinicas de dentistíca, cirurgia e endodontia.</t>
  </si>
  <si>
    <t>2124500</t>
  </si>
  <si>
    <t>327138</t>
  </si>
  <si>
    <t>Isabelle Almeida Dos Santos</t>
  </si>
  <si>
    <t>2025-10-31 12:54:38 -&gt; avaliação Ortodôntica</t>
  </si>
  <si>
    <t>2125140</t>
  </si>
  <si>
    <t>2125143</t>
  </si>
  <si>
    <t>2138897</t>
  </si>
  <si>
    <t>2145465</t>
  </si>
  <si>
    <t>328514</t>
  </si>
  <si>
    <t>EDNALDO BASTOS ARRUDA</t>
  </si>
  <si>
    <t>2025-08-20 19:29:13 -&gt; Abertura coronária. Instrumentação canais MV e dv em 21mm. Canal P em 22mm. Agitação hipoclorito 2,5% e edta -t. Obturação sealer 26. Blindagem resina flow. Rc (o). Dente 26.</t>
  </si>
  <si>
    <t>2145485</t>
  </si>
  <si>
    <t>328513</t>
  </si>
  <si>
    <t>Andressa de Oliveira Silva Arruda</t>
  </si>
  <si>
    <t>2025-08-20 22:10:08 -&gt; Realizada endodontia do dente 26, sem INTERCORRÊNCIAS. Anestesia com 1 tubete de arti e 1 tubete de lido. Condutos obturados e selados com sistema wave one. Restaurados e blindados com cimento resinoso e resina flow. Encaminhada para REABILITAÇÃO.</t>
  </si>
  <si>
    <t>2145499</t>
  </si>
  <si>
    <t>323650</t>
  </si>
  <si>
    <t>ROCI MARIA DE SOUSA ARAUJO</t>
  </si>
  <si>
    <t>2026-01-30 11:23:13 -&gt; Foi realizada a remoção de sutura. Região com bom aspecto de cicatrização.</t>
  </si>
  <si>
    <t>2145522</t>
  </si>
  <si>
    <t>328539</t>
  </si>
  <si>
    <t>Lucas dos reis Carvalho</t>
  </si>
  <si>
    <t>2026-09-15 11:42:32 -&gt; Paciente Foi Encaminhado para o financeiro e orientado sobre a prioRidade de atendimento para quem efetua pagamento primeiro.</t>
  </si>
  <si>
    <t>2145523</t>
  </si>
  <si>
    <t>2145524</t>
  </si>
  <si>
    <t>328103</t>
  </si>
  <si>
    <t>ADRIANA NUNES</t>
  </si>
  <si>
    <t>2025-11-21 14:12:32 -&gt; Realizado troca de medicação intracanal
Sera finalizado no próximo mês</t>
  </si>
  <si>
    <t>2145538</t>
  </si>
  <si>
    <t>329217</t>
  </si>
  <si>
    <t>VALDIVAN MENDES MARINHO</t>
  </si>
  <si>
    <t>2025-09-03 12:23:51 -&gt; Instrumentação até a Lima Large wave One, D= 24, MV= 24, MV: 24, Feito PQM, IRRIGAÇÃO final e obturação com cone large WAVE ONE MV- 24, ML= 24 e com come 50.06 O D - 23. Feito blindagem do conduto com resina flow e restaurado com resino A3.</t>
  </si>
  <si>
    <t>2145579</t>
  </si>
  <si>
    <t>309262</t>
  </si>
  <si>
    <t>ZILMA PEREIRA DE SANTANA</t>
  </si>
  <si>
    <t>2026-02-21 13:25:01 -&gt; AVALIAÇÃO e ORÇAMENTO da coroa de emax e pino de fibra de vidro do elemento 47</t>
  </si>
  <si>
    <t>2145913</t>
  </si>
  <si>
    <t>329193</t>
  </si>
  <si>
    <t>IGOR GABRIEL MARCIANO EVANGELISTA</t>
  </si>
  <si>
    <t>2026-01-14 20:31:04 -&gt; Aberturo e remo de guta percha(14mm) e foi colocado 2 pinos de fibra(v e p) e restauração.</t>
  </si>
  <si>
    <t>2145955</t>
  </si>
  <si>
    <t>328428</t>
  </si>
  <si>
    <t>MICHEL DE QUEIROZ BOUGLEUX</t>
  </si>
  <si>
    <t>2026-04-25 13:40:02 -&gt; OBTURAÇÃO DO CANAL DISTAL DO DENTE 47 em 22 mm. Lima fraturada se manteve no canal mas conseguimos ultrapassar. Tratamento endodôntico foi totalmente finalizado</t>
  </si>
  <si>
    <t>2145957</t>
  </si>
  <si>
    <t>324095</t>
  </si>
  <si>
    <t>Carlos Alberto da Silva Fraga Junior</t>
  </si>
  <si>
    <t>2026-10-03 11:48:00 -&gt; foi realizado preparos de todos os dentes inferiores. dente 45 terá que ser extraído no dia da cimentação e será realizada uma fixa apoiada no 46 e no 44 com o 45 como pôntico.</t>
  </si>
  <si>
    <t>2146028</t>
  </si>
  <si>
    <t>280116</t>
  </si>
  <si>
    <t>Andressa Lima Guerreiro</t>
  </si>
  <si>
    <t>2025-10-17 11:38:24 -&gt; Falta justificada</t>
  </si>
  <si>
    <t>2146034</t>
  </si>
  <si>
    <t>329348</t>
  </si>
  <si>
    <t>Lucivaldo de Siqueira</t>
  </si>
  <si>
    <t>Pâmella Nóbrega Izza</t>
  </si>
  <si>
    <t>2026-08-13 18:11:07 -&gt; Faltou</t>
  </si>
  <si>
    <t>2146417</t>
  </si>
  <si>
    <t>2026-10-03 13:31:57 -&gt; Paciente compareceu à clínica para avaliação visando reabilitação oral com prótese tipo protocolo superior e prótese parcial removível (PPR) inferior. Solicitada tomografia computadorizada de maxila e mandíbula total. Ao exame clínico, observada a presença de restos radiculares com indicação de exodontia. Paciente encaminhado à equipe de implantodontia para planejamento cirúrgico e remoção dos restos radiculares. Após a conclusão da fase cirúrgica, retornará para a etapa protética</t>
  </si>
  <si>
    <t>2146418</t>
  </si>
  <si>
    <t>2147127</t>
  </si>
  <si>
    <t>328931</t>
  </si>
  <si>
    <t>Vilmar da Silva Barbosa</t>
  </si>
  <si>
    <t>2026-04-29 11:00:17 -&gt; consulta ortodôntica</t>
  </si>
  <si>
    <t>2147148</t>
  </si>
  <si>
    <t>153998</t>
  </si>
  <si>
    <t>CLEBER LEITE GUIMARÃES ARAÚJO</t>
  </si>
  <si>
    <t>2025-08-22 21:33:49 -&gt; Remoção de cárie; instrumentação #35.06 em 29mm. Agitação hipoclorito 2,5 % e edta-t; obturação apical 10mm. Pino de fibra de vidro. Resina. Paciente orientado a fazer coroa.</t>
  </si>
  <si>
    <t>2150540</t>
  </si>
  <si>
    <t>303200</t>
  </si>
  <si>
    <t>WEVERTON SANTOS DE SOUZA JÚNIOR</t>
  </si>
  <si>
    <t>01.14.09.00031</t>
  </si>
  <si>
    <t>BANDA ALÇA</t>
  </si>
  <si>
    <t>2025-08-28 23:38:36 -&gt; Foi explicado para a mãe sobre o procedimento que o filho deverá fazer, foi passado o orçamento do aparelho e estou aguardando o pagamento para iniciar o tratamento</t>
  </si>
  <si>
    <t>ENCERRAMENTO (código 7)</t>
  </si>
  <si>
    <t>ENVIADO PARA LABORATÓRIO -&gt; ENCERRAMENTO (código 7)</t>
  </si>
  <si>
    <t>ORTODONTIA E O.F.M.</t>
  </si>
  <si>
    <t>01.14.09.00080</t>
  </si>
  <si>
    <t>DISJUNTOR DE HIRAX</t>
  </si>
  <si>
    <t>01.14.09.00095</t>
  </si>
  <si>
    <t>GRADE INIBIDORA C/ PÉROLA REEDUCADORA</t>
  </si>
  <si>
    <t>01.14.09.00237</t>
  </si>
  <si>
    <t>MODELO IMPRESSO 3D (POR ARCADA)</t>
  </si>
  <si>
    <t>2157044</t>
  </si>
  <si>
    <t>108903</t>
  </si>
  <si>
    <t>MARIA DO SOCORRO DA SILVA</t>
  </si>
  <si>
    <t>Robismar Pereira Machado</t>
  </si>
  <si>
    <t>2026-05-13 12:47:37 -&gt; Paciente agendado errada</t>
  </si>
  <si>
    <t>2197766</t>
  </si>
  <si>
    <t>2198690</t>
  </si>
  <si>
    <t>2199153</t>
  </si>
  <si>
    <t>AW-682030</t>
  </si>
  <si>
    <t>JASON MEMBRANE 20X30MM</t>
  </si>
  <si>
    <t>01.11.27.00047</t>
  </si>
  <si>
    <t>ILCM 3585N</t>
  </si>
  <si>
    <t>IMPLANTE CM Ø3,5 X 8,5MM</t>
  </si>
  <si>
    <t>01.11.26.00933</t>
  </si>
  <si>
    <t>ILCM 3885N</t>
  </si>
  <si>
    <t>IMPLANTE CM Ø3,8 X 8,5MM</t>
  </si>
  <si>
    <t>01.11.26.00943</t>
  </si>
  <si>
    <t>2221036</t>
  </si>
  <si>
    <t>2224526</t>
  </si>
  <si>
    <t>2026-09-16 08:41:09 -&gt; Paciente esteve na clínica para avaliação de implante ja instalado com relato de dor na região, foi feito análise em tomografia e constatou-se perda de dois implantes nas regiões do 12 e 15 e planejamento para recolocação.</t>
  </si>
  <si>
    <t>2.1.10 -&gt; 2.1.11 -&gt; 2.1.12 -&gt; 2.1.13 -&gt; 2.1.12 -&gt; 2.1.18 -&gt; 2.1.11</t>
  </si>
  <si>
    <t>01.14.12.00601</t>
  </si>
  <si>
    <t>MONTAGEM DE DENTES</t>
  </si>
  <si>
    <t>702.104</t>
  </si>
  <si>
    <t>ABUTMENT MN-CMN 1.5MM</t>
  </si>
  <si>
    <t>01.11.01.00106</t>
  </si>
  <si>
    <t>702.109</t>
  </si>
  <si>
    <t>ABUT. ANGULADO 17º MN-CMN 1.5MM</t>
  </si>
  <si>
    <t>01.11.01.00110</t>
  </si>
  <si>
    <t>708.016</t>
  </si>
  <si>
    <t>UCLA CALCINAVEL P/ MINI ABUTMENT</t>
  </si>
  <si>
    <t>01.11.01.00233</t>
  </si>
  <si>
    <t>2232990</t>
  </si>
  <si>
    <t>266336</t>
  </si>
  <si>
    <t>MARIA EMILIA DE Sá CAVALCANTE</t>
  </si>
  <si>
    <t>2026-09-04 17:25:28 -&gt; Cimentacao das coroas definitas, paciente aprovou a cor e formato dos dentes.</t>
  </si>
  <si>
    <t>2257175</t>
  </si>
  <si>
    <t>2258370</t>
  </si>
  <si>
    <t>339884</t>
  </si>
  <si>
    <t>DEMERVAL LIMA GONÇALVES JUNIOR</t>
  </si>
  <si>
    <t>2026-03-11 13:05:00 -&gt; Paciente compareceu Para avaliaçao de implantes em regiao inferior posterior , foi realizado o orçamento e passado para o mesmo</t>
  </si>
  <si>
    <t>2259508</t>
  </si>
  <si>
    <t>331880</t>
  </si>
  <si>
    <t>ROSIMEIRE DA SILVA RIBEIRO</t>
  </si>
  <si>
    <t>Matheus Martins Lacerda Costa</t>
  </si>
  <si>
    <t>2026-07-15 12:24:01 -&gt; Paciente foi reagendada para o proximo modulo pois a base de prova com plano de cera ainda nao estava pronto. Não precisou vir a clinica neste dia</t>
  </si>
  <si>
    <t>2.1.10 -&gt; 2.1.11 -&gt; 2.1.12 -&gt; 2.1.12 -&gt; 2.1.18 -&gt; 2.1.11 -&gt; 2.1.18 -&gt; 2.1.11 -&gt; 2.1.18 -&gt; 2.1.11</t>
  </si>
  <si>
    <t>140.906</t>
  </si>
  <si>
    <t>IMPLANTE TITAMAX GM 3.5X7 ACQUA</t>
  </si>
  <si>
    <t>01.11.17.01704</t>
  </si>
  <si>
    <t>2275022</t>
  </si>
  <si>
    <t>336214</t>
  </si>
  <si>
    <t>Miriam Ferreira Simões</t>
  </si>
  <si>
    <t>Marcelo Sansoni Paim</t>
  </si>
  <si>
    <t>2026-10-02 21:30:06 -&gt; realizada a moldagem de coroas dos dentes 25, 26, 45 e 46</t>
  </si>
  <si>
    <t>2286158</t>
  </si>
  <si>
    <t>256941</t>
  </si>
  <si>
    <t>ATENILTON DOS SANTOS DE ARAUJO</t>
  </si>
  <si>
    <t>701.002</t>
  </si>
  <si>
    <t>IMPLANTE TITAOSS MAX CMC Ø3.5 X 8MM</t>
  </si>
  <si>
    <t>2026-08-12 12:19:55 -&gt; Foi realizado a reabertura após instalação dos implantes na região 24, 37, 46, 47 E 15. Foram instalados os cicatrizadores intraoss 4,5x3,5mm e 3,3x3,5mm</t>
  </si>
  <si>
    <t>2.1.10 -&gt; 2.1.12 -&gt; 2.1.13 -&gt; 2.1.11</t>
  </si>
  <si>
    <t>01.11.01.00027</t>
  </si>
  <si>
    <t>2292964</t>
  </si>
  <si>
    <t>338116</t>
  </si>
  <si>
    <t>katiane da silva</t>
  </si>
  <si>
    <t>PTQ 2008</t>
  </si>
  <si>
    <t>PARAF DE TITANIO QUADRADO</t>
  </si>
  <si>
    <t>2026-08-31 16:37:17 -&gt; essa paciente nao e minha</t>
  </si>
  <si>
    <t>01.11.26.01372</t>
  </si>
  <si>
    <t>2292969</t>
  </si>
  <si>
    <t>343677</t>
  </si>
  <si>
    <t>ELIENE MESSIAS DE JESUS</t>
  </si>
  <si>
    <t>Isabela Mariane de Almeida Alves</t>
  </si>
  <si>
    <t>2026-09-30 22:47:28 -&gt; Paciente retornou para continuidade do tratamento restaurador do elemento 47. Realizada remoção do material provisório (bioplic), seguida de avaliação clínica e reajustes. Posteriormente, realizado repreparo do elemento dentário.
Após finalização do preparo, foi realizada moldagem com silicone de adição para confecção de restauração semidireta. A restauração foi confeccionada imediatamente sobre o modelo obtido.
Na sequência, paciente foi anestesiada e realizado isolamento absoluto do campo operatório. Com a peça restauradora previamente confeccionada, procedeu-se à cimentação adesiva utilizando resina composta Flow (Shofu).
Ao final, realizada checagem e ajuste oclusal, seguida de acabamento da restauração. Procedimento realizado sem intercorrências.</t>
  </si>
  <si>
    <t>2.1.10 -&gt; 2.1.11 -&gt; 2.1.12 -&gt; 2.1.18 -&gt; 2.1.11 -&gt; 2.1.18 -&gt; 2.1.11</t>
  </si>
  <si>
    <t>2293624</t>
  </si>
  <si>
    <t>263211</t>
  </si>
  <si>
    <t>ANTONIA DE MARIA CASTRO</t>
  </si>
  <si>
    <t>2026-09-22 13:02:42 -&gt; remoçao de sutura</t>
  </si>
  <si>
    <t>2293696</t>
  </si>
  <si>
    <t>344330</t>
  </si>
  <si>
    <t>MARCOS ANTONIO DE SOUZA</t>
  </si>
  <si>
    <t>2026-07-15 10:24:54 -&gt; AINDA ESTÁ EM acompanhamento com endocrinologista pois necessita de estabilização da glicemia que se encontra em 185. Com a liberação médica, poderá realizar a cirurgia.</t>
  </si>
  <si>
    <t>108.176</t>
  </si>
  <si>
    <t>TRANSFER MINI PILAR MOLDEIRA ABERTA SLIM</t>
  </si>
  <si>
    <t>01.11.17.01620</t>
  </si>
  <si>
    <t>140.944</t>
  </si>
  <si>
    <t>IMPLANTE HELIX GM 3.5X10 ACQUA</t>
  </si>
  <si>
    <t>01.11.17.00914</t>
  </si>
  <si>
    <t>2295683</t>
  </si>
  <si>
    <t>01.14.12.00130</t>
  </si>
  <si>
    <t>COROA PROVISÓRIA ACRÍLICA (POR ELEMENTO)</t>
  </si>
  <si>
    <t>140.945</t>
  </si>
  <si>
    <t>IMPLANTE HELIX GM 3.5X11.5 ACQUA</t>
  </si>
  <si>
    <t>01.11.17.01538</t>
  </si>
  <si>
    <t>2296498</t>
  </si>
  <si>
    <t>283128</t>
  </si>
  <si>
    <t>marcia eliane cardoso moura de oliveira</t>
  </si>
  <si>
    <t>2026-09-15 11:08:46 -&gt; Foi realizado a instalação de dois implantes na região do dente 36 e 23, helix gm 3,75x8 e 3,5x10, respectivamente. Foi instalado cicatrizador na regiao do 23 e tapa na região do 36. Implante na região do 23 com cirurgia guiada.</t>
  </si>
  <si>
    <t>2.1.10 -&gt; 2.1.11 -&gt; 2.1.12 -&gt; 2.1.18 -&gt; 2.1.11 -&gt; 2.1.18 -&gt; 2.1.11 -&gt; 2.1.12 -&gt; 2.1.12 -&gt; 2.1.18 -&gt; 2.1.18</t>
  </si>
  <si>
    <t>2296577</t>
  </si>
  <si>
    <t>268860</t>
  </si>
  <si>
    <t>ELEUSA COELHO FERREIRA</t>
  </si>
  <si>
    <t>Alexandre dos Anjos Zenóbio de Vasconcellos Fernandes Quadra</t>
  </si>
  <si>
    <t>E8172/25</t>
  </si>
  <si>
    <t>DENTÍSTICA</t>
  </si>
  <si>
    <t>2026-08-12 11:27:18 -&gt; Entrega de coroas metaloceramicas 34,35,36,44,45,46</t>
  </si>
  <si>
    <t>Dentística</t>
  </si>
  <si>
    <t>2300944</t>
  </si>
  <si>
    <t>339471</t>
  </si>
  <si>
    <t>DANIELE CAMPOS FERREIRA</t>
  </si>
  <si>
    <t>César Henrique Gomes de Azevedo</t>
  </si>
  <si>
    <t>2026-10-04 14:05:38 -&gt; Aguardando definição sobre disponibilidade de atendimento para o próximo módulo</t>
  </si>
  <si>
    <t>2302343</t>
  </si>
  <si>
    <t>287684</t>
  </si>
  <si>
    <t>adriana martiniana dias vieira</t>
  </si>
  <si>
    <t>Sara de Oliveira Santos</t>
  </si>
  <si>
    <t>E7198/23</t>
  </si>
  <si>
    <t>01.14.09.00061</t>
  </si>
  <si>
    <t>CONTENÇÃO ARCO CONTINUO/BEGG</t>
  </si>
  <si>
    <t>2026-09-23 13:29:34 -&gt; Moldagem para contenção. Remoção no próximo mês</t>
  </si>
  <si>
    <t>2303137</t>
  </si>
  <si>
    <t>2307025</t>
  </si>
  <si>
    <t>153979</t>
  </si>
  <si>
    <t>CACILDA MARIANA MACHADO</t>
  </si>
  <si>
    <t>2026-06-08 13:50:46 -&gt; cirurgia remarcada devido ao teste de glicemia da paciente (391 mg/dl)</t>
  </si>
  <si>
    <t>109.946</t>
  </si>
  <si>
    <t>IMPLANTE HELIX GM 3.5X13</t>
  </si>
  <si>
    <t>01.11.17.00865</t>
  </si>
  <si>
    <t>109.978</t>
  </si>
  <si>
    <t>IMPLANTE HELIX GM 3.75X11.5</t>
  </si>
  <si>
    <t>01.11.17.00947</t>
  </si>
  <si>
    <t>2307787</t>
  </si>
  <si>
    <t>2308355</t>
  </si>
  <si>
    <t>344807</t>
  </si>
  <si>
    <t>MAURILIO ROSA COELHO</t>
  </si>
  <si>
    <t>2026-07-14 20:50:56 -&gt; Paciente compareceu foi realizado Registro de mordida atraves de plano de cera e encaminhado ao laboratorio</t>
  </si>
  <si>
    <t>2308400</t>
  </si>
  <si>
    <t>261439</t>
  </si>
  <si>
    <t>JOAO RIBEIRO MARTINS</t>
  </si>
  <si>
    <t>2026-08-04 20:45:02 -&gt; Foi realizado o alívio da PPA superior e colocado soft para amenizar a compressão. Paciente orientado sobre o uso da prótese, e que deveria entrar em contato com a doutora que fez a cirurgia, para avisá-la que está fazendo uso da prótese.</t>
  </si>
  <si>
    <t>2.1.10 -&gt; 2.1.13 -&gt; 2.1.11 -&gt; 2.1.20 -&gt; 2.1.12</t>
  </si>
  <si>
    <t>2.1.12</t>
  </si>
  <si>
    <t>116.210</t>
  </si>
  <si>
    <t>PARAF.ENXERTO 1.5X8 AUTOPERF.CAB.EXP.</t>
  </si>
  <si>
    <t>01.11.17.01839</t>
  </si>
  <si>
    <t>500302</t>
  </si>
  <si>
    <t>BIO OSS ENXERTO ÓSSEO GRÂNULOS (S) 1,00G(0,25MM-1MM )  </t>
  </si>
  <si>
    <t>GEISTLICH -GEISTLICH PHARMA DO BRASIL COMERCIO E SERVICOS DE</t>
  </si>
  <si>
    <t>01.11.14.00025</t>
  </si>
  <si>
    <t>2308436</t>
  </si>
  <si>
    <t>160368</t>
  </si>
  <si>
    <t>ALICE FERREIRA DE ALMEIDA</t>
  </si>
  <si>
    <t>2026-08-12 02:41:22 -&gt; Paciente comapreceu para somente tira duvida sobre o material que ira se usado nas coroas e se orcamento "era dos dente prontos"</t>
  </si>
  <si>
    <t>AMCMU 4825</t>
  </si>
  <si>
    <t>ABUT MULTIFUNCIONAL CM11,5° ALT 2,5MM</t>
  </si>
  <si>
    <t>01.11.26.01752</t>
  </si>
  <si>
    <t>ANMA 4800</t>
  </si>
  <si>
    <t>ANALOGO MINI ABUT</t>
  </si>
  <si>
    <t>01.11.26.00256</t>
  </si>
  <si>
    <t>CCRAM 06</t>
  </si>
  <si>
    <t>ABUT CIL CRCO ABUT MULTIFUNC INDEX</t>
  </si>
  <si>
    <t>01.11.26.01760</t>
  </si>
  <si>
    <t>CLEM 4800-3</t>
  </si>
  <si>
    <t>ABUT CIL CRCO MINI C/ PRH 30</t>
  </si>
  <si>
    <t>01.11.26.00461</t>
  </si>
  <si>
    <t>MAMU 4825</t>
  </si>
  <si>
    <t>MINI ABUTMENT CÔNICO Ø4.8X2.5MM</t>
  </si>
  <si>
    <t>01.11.26.01215</t>
  </si>
  <si>
    <t>PTM 4800-3</t>
  </si>
  <si>
    <t>ABUT PROV MINI S/HEX C/ PRH 30</t>
  </si>
  <si>
    <t>01.11.26.01360</t>
  </si>
  <si>
    <t>TMAM 4800</t>
  </si>
  <si>
    <t>ABUT TRANS MOL ABER ABUT Ø4.8</t>
  </si>
  <si>
    <t>01.11.26.01639</t>
  </si>
  <si>
    <t>2308534</t>
  </si>
  <si>
    <t>carlos alberto dos santos</t>
  </si>
  <si>
    <t>2026-09-16 12:22:54 -&gt; PROVA DO GUIA CIRÚRGICO PARA PROTÓCOLO SUPERIOR. PEDIDO DOS EXAMES LABORATORIais e risco cirúrgico.</t>
  </si>
  <si>
    <t>RECEBIDO DO LABORATÓRIO</t>
  </si>
  <si>
    <t>ENVIADO PARA LABORATÓRIO -&gt; RECEBIDO DO LABORATÓRIO</t>
  </si>
  <si>
    <t>CIMU 4535</t>
  </si>
  <si>
    <t>CICATRIZADOR MORSE Ø4.5X3.5MM</t>
  </si>
  <si>
    <t>01.11.26.00445</t>
  </si>
  <si>
    <t>CPM 4800-3</t>
  </si>
  <si>
    <t>ABUT PLAS MINI ABUT C/ PRH 30</t>
  </si>
  <si>
    <t>01.11.26.00557</t>
  </si>
  <si>
    <t>ILM 3813N</t>
  </si>
  <si>
    <t>IMPLANTE MT16° Ø3,8 X 13,0MM</t>
  </si>
  <si>
    <t>01.11.26.01944</t>
  </si>
  <si>
    <t>MAMA 1725I</t>
  </si>
  <si>
    <t>ABUT MINI ANG Ø4.8X2.5MMX17° INDEX</t>
  </si>
  <si>
    <t>01.11.26.01856</t>
  </si>
  <si>
    <t>PMA 4855</t>
  </si>
  <si>
    <t>PROTETOR MINI ABUT Ø5.0</t>
  </si>
  <si>
    <t>01.11.26.01303</t>
  </si>
  <si>
    <t>2308765</t>
  </si>
  <si>
    <t>258192</t>
  </si>
  <si>
    <t>ROSILENE DOS SANTOS PEREIRA</t>
  </si>
  <si>
    <t>2026-06-09 19:21:17 -&gt; Planejamento+orçamento</t>
  </si>
  <si>
    <t>2308903</t>
  </si>
  <si>
    <t>346877</t>
  </si>
  <si>
    <t>MARLY LEAL FRANÇA</t>
  </si>
  <si>
    <t>2026-06-09 21:06:02 -&gt; Paciente compareceu foi realizado anamnese e passado orçamento e pedidos de exames para a mesma , paciente relata ter usado bifosfonato a 10 anos atras</t>
  </si>
  <si>
    <t>01.14.12.00110</t>
  </si>
  <si>
    <t>COROA PROVISÓRIA POR ELEMENTO</t>
  </si>
  <si>
    <t>CPTMU 3503-H</t>
  </si>
  <si>
    <t>CILIN PROV MORSE UNITITE Ø 3,5MM X 3</t>
  </si>
  <si>
    <t>01.11.26.00588</t>
  </si>
  <si>
    <t>ILCM 3513N</t>
  </si>
  <si>
    <t>IMPLANTE CM Ø3,5 X 13,0MM</t>
  </si>
  <si>
    <t>01.11.26.00929</t>
  </si>
  <si>
    <t>2308927</t>
  </si>
  <si>
    <t>266198</t>
  </si>
  <si>
    <t>ELIETE  ANDRADE SOUTO CALÇADO</t>
  </si>
  <si>
    <t>2026-07-14 11:40:54 -&gt; Extração do elemento 15+ implante imediato,Sin epikut 8,5x3,5+ enxerto osseo</t>
  </si>
  <si>
    <t>2.1.10 -&gt; 2.1.13 -&gt; 2.1.11 -&gt; 2.1.12</t>
  </si>
  <si>
    <t>ILCM 3585</t>
  </si>
  <si>
    <t>01.11.26.00932</t>
  </si>
  <si>
    <t>2308973</t>
  </si>
  <si>
    <t>CPTMU 3501-H</t>
  </si>
  <si>
    <t>CILIN PROV MORSE UNITITE Ø 3,5MM X 1</t>
  </si>
  <si>
    <t>01.11.26.00586</t>
  </si>
  <si>
    <t>CPTMU 4501-H</t>
  </si>
  <si>
    <t>CILIN PROV MORSE UNITITE Ø 4,5MM X 1</t>
  </si>
  <si>
    <t>01.11.26.00590</t>
  </si>
  <si>
    <t>ILCM 4511N</t>
  </si>
  <si>
    <t>IMPLANTE CM Ø4,5 X 11,5MM</t>
  </si>
  <si>
    <t>01.11.26.00947</t>
  </si>
  <si>
    <t>2309046</t>
  </si>
  <si>
    <t>344491</t>
  </si>
  <si>
    <t>MARIA CELIA PEREIRA</t>
  </si>
  <si>
    <t>Lucas de Souza Moura</t>
  </si>
  <si>
    <t>2026-09-16 12:14:59 -&gt; moldagem da pt superior.</t>
  </si>
  <si>
    <t>Pago e serviço realizado</t>
  </si>
  <si>
    <t>ILCM 3511</t>
  </si>
  <si>
    <t>01.11.26.00926</t>
  </si>
  <si>
    <t>ILCM 3513</t>
  </si>
  <si>
    <t>01.11.26.00928</t>
  </si>
  <si>
    <t>2311587</t>
  </si>
  <si>
    <t>2311696</t>
  </si>
  <si>
    <t>341365</t>
  </si>
  <si>
    <t>raquel vieira da silva</t>
  </si>
  <si>
    <t>2026-08-15 13:38:22 -&gt; Dente 47,caso de retratamento.Foi realizado a Instrumentação do canal distal e a obturação.O canal mesio vestibular foi instrumentAdo até o possível pois se encontra com calcificação e atresia.O canal mesio lingual se encontra calcificado.Foi realizado selamento com Teflon e resina flow provisória.expliquei a paciente sobre a possibilidade de não regressão da lesão devido a calcificação dos canais,pois se trata de um caso complexo, porém o que foi possível foi realizado.Pacienye está ciente.Foi encaminhada para prótese para fazer coroA.</t>
  </si>
  <si>
    <t>2317495</t>
  </si>
  <si>
    <t>323968</t>
  </si>
  <si>
    <t>Gustavo Queiroz Costa</t>
  </si>
  <si>
    <t>2026-09-24 21:30:31 -&gt; Realizada manutenção superior e inferior com ELÁSTICO corrente dente 25</t>
  </si>
  <si>
    <t>2317603</t>
  </si>
  <si>
    <t>336422</t>
  </si>
  <si>
    <t>MARIANA MATOS ROCHA</t>
  </si>
  <si>
    <t>2026-08-27 13:02:19 -&gt; Paciente quis DESISTIR do tratamento pela dificuldade de deslocamento entre a sua casa e a são leopoldo Mandic.Foi entregue a caixa do aparelho com os braquetes inferiores. Estou dando alta por motivo de DESISTÊNCIA do paciente.</t>
  </si>
  <si>
    <t>2317666</t>
  </si>
  <si>
    <t>343538</t>
  </si>
  <si>
    <t>MARIA PAULA ALVES RABELO</t>
  </si>
  <si>
    <t>Mariana de Oliveira Barros Marcelino</t>
  </si>
  <si>
    <t>2026-09-25 17:38:45 -&gt; entrega das palcas 3 e 4</t>
  </si>
  <si>
    <t>2317963</t>
  </si>
  <si>
    <t>294685</t>
  </si>
  <si>
    <t>isabelly santos faria</t>
  </si>
  <si>
    <t>Júlia Gomes Dias</t>
  </si>
  <si>
    <t>2026-09-23 21:36:32 -&gt; Mantenho fios sup. e inf., e recolo brackets dentes 34 e 35.</t>
  </si>
  <si>
    <t>2325799</t>
  </si>
  <si>
    <t>2.1.10 -&gt; 2.1.12 -&gt; 2.1.13 -&gt; 2.1.12 -&gt; 2.1.13 -&gt; 2.1.11</t>
  </si>
  <si>
    <t>2327988</t>
  </si>
  <si>
    <t>2328218</t>
  </si>
  <si>
    <t>2328374</t>
  </si>
  <si>
    <t>118.298</t>
  </si>
  <si>
    <t>CILIN.CALC.PILAR 4.8 ANTIR.NEO</t>
  </si>
  <si>
    <t>01.11.17.00207</t>
  </si>
  <si>
    <t>2328385</t>
  </si>
  <si>
    <t>331404</t>
  </si>
  <si>
    <t>Eliane Próspero de Santana</t>
  </si>
  <si>
    <t>2026-07-15 12:17:35 -&gt; Pedido de panoramica final e ORÇAMENTO protetico</t>
  </si>
  <si>
    <t>AMCMU 4845</t>
  </si>
  <si>
    <t>ABUT MULTIFUNCIONAL CM11,5° ALT 4,5MM</t>
  </si>
  <si>
    <t>01.11.26.01754</t>
  </si>
  <si>
    <t>CCAM 06</t>
  </si>
  <si>
    <t>BUT CIL CALCINAVEL ABUT MULTIFUNC INDEX</t>
  </si>
  <si>
    <t>01.11.26.01758</t>
  </si>
  <si>
    <t>2332095</t>
  </si>
  <si>
    <t>01.11.46.00046</t>
  </si>
  <si>
    <t>BRACKET EASYCLIP+ PASSIVO .022 ROTH/MBT PRE MOLAR SUP ESQ C/G -7°T 0°A 2°O C/1</t>
  </si>
  <si>
    <t>2332099</t>
  </si>
  <si>
    <t>318788</t>
  </si>
  <si>
    <t>Robson camargo campos</t>
  </si>
  <si>
    <t>2026-09-23 14:40:19 -&gt; Fio 16x22 niti termo ativado sup e inf. Amarrilho conjugado no arco inf.</t>
  </si>
  <si>
    <t>2340319</t>
  </si>
  <si>
    <t>349933</t>
  </si>
  <si>
    <t>anismei de oliveira</t>
  </si>
  <si>
    <t>Mariana Abrão Flores Mendes</t>
  </si>
  <si>
    <t>2026-08-08 18:03:01 -&gt; pACIENTE REALIZOU O PROCEDIMENTO NO PERÍODO DA MANHÃ E A TARDE RETORNOU A CLINICA RELATANDO SENSAÇÃO DE SUFOCAMENTO, O MESMO FOI RECEBIDO E FEITO O TESTE DE GLICEMIA,116. o PACIENTE SE RECUSA A USAR A FAIXA DE COMPRESSÃO E FOI ORIENTADO SOBRE A IMPORTANCIA DA MESMA. PACIENTE FOI ENCAMINHADO PARA PSIQUIATRA APÓS QUADRO D PANICO PÓS PROCEDIMENTO CIRURGICO.</t>
  </si>
  <si>
    <t>2342043</t>
  </si>
  <si>
    <t>347443</t>
  </si>
  <si>
    <t>GRACINHA PEREIRA COSTA</t>
  </si>
  <si>
    <t>01.14.12.00582</t>
  </si>
  <si>
    <t>COROA EM ZIRCONIA</t>
  </si>
  <si>
    <t>2026-08-11 17:08:02 -&gt; Paciente foi avaliada e o orcamento foi passado. Precisa de ppr superior e trocar pontico inferior. Foi feita moldagem de estudo</t>
  </si>
  <si>
    <t>2342067</t>
  </si>
  <si>
    <t>171933</t>
  </si>
  <si>
    <t>JULIANA SANTOS SALES</t>
  </si>
  <si>
    <t>Barbara Rodovalho Alves da Silva</t>
  </si>
  <si>
    <t>2026-09-16 00:56:39 -&gt; EM TRATAMENTO</t>
  </si>
  <si>
    <t>702.439</t>
  </si>
  <si>
    <t>ABUTMENT CAD CME Ø3.5 X 2 X 4MM</t>
  </si>
  <si>
    <t>01.11.01.00314</t>
  </si>
  <si>
    <t>709.010</t>
  </si>
  <si>
    <t>PARAFUSO P/ ABUT. MAX CONE MORSE</t>
  </si>
  <si>
    <t>01.11.01.00237</t>
  </si>
  <si>
    <t>2343220</t>
  </si>
  <si>
    <t>349060</t>
  </si>
  <si>
    <t>JOSÉ VIEIRA FILHo</t>
  </si>
  <si>
    <t>2026-08-12 12:42:03 -&gt; preenchimento erroneo -Foi feito anamnese e realizamos o orçamento dele para 2 implantes 22 e 23 (22 com carga imediata) e (23 raíz residual, com lesão no apice, e vai ser necessário fazer enxerto por vestibular)</t>
  </si>
  <si>
    <t>16001</t>
  </si>
  <si>
    <t>BONEFILL DENSO [0,10 - 0,60 MM] | FINO |</t>
  </si>
  <si>
    <t>01.11.06.00001</t>
  </si>
  <si>
    <t>26805</t>
  </si>
  <si>
    <t>PILAR PROVISORIO CONE MORSE AR 4.0X1.5</t>
  </si>
  <si>
    <t>01.11.16.00927</t>
  </si>
  <si>
    <t>2343566</t>
  </si>
  <si>
    <t>345567</t>
  </si>
  <si>
    <t>EDINA MACHADO BORGES</t>
  </si>
  <si>
    <t>2026-08-19 21:37:47 -&gt; Anamnese + plano de tratamento</t>
  </si>
  <si>
    <t>2343649</t>
  </si>
  <si>
    <t>283932</t>
  </si>
  <si>
    <t>LOURIVALDO DE OLIVEIRA ALVES</t>
  </si>
  <si>
    <t>2026-09-16 12:15:53 -&gt; não atendi o paciente.</t>
  </si>
  <si>
    <t>2343773</t>
  </si>
  <si>
    <t>2026-09-15 22:50:51 -&gt; FOI REALIZADO FOTOGRAFIA INTRAORAL + MOLDAGEM PARA CONFECÇÃO DO GUIA CIRURGICO</t>
  </si>
  <si>
    <t>22274</t>
  </si>
  <si>
    <t>IMPLANTE UN III CONE MORSE AR 3.5X07</t>
  </si>
  <si>
    <t>01.11.16.00440</t>
  </si>
  <si>
    <t>2343950</t>
  </si>
  <si>
    <t>348620</t>
  </si>
  <si>
    <t>INÊS SUZANA PEREIRA DOURADO</t>
  </si>
  <si>
    <t>01.14.12.00689</t>
  </si>
  <si>
    <t>COROA PROVISORIA SOBRE IMPLANTE (SOLICITAR CILINDRO E PARAFUSO SEPARADAMENTE)</t>
  </si>
  <si>
    <t>2026-09-14 14:49:15 -&gt; Implante 3,5x13 mm+ provisório</t>
  </si>
  <si>
    <t>2351644</t>
  </si>
  <si>
    <t>320882</t>
  </si>
  <si>
    <t>Anthony Henrique Souza Lopes</t>
  </si>
  <si>
    <t>01.14.09.00189</t>
  </si>
  <si>
    <t>SNS DE 1 AO 13</t>
  </si>
  <si>
    <t>2026-09-23 12:48:02 -&gt; remoção do disjuntor de hyrax + moldagem para confecção do sn1 com equiplan</t>
  </si>
  <si>
    <t>2356488</t>
  </si>
  <si>
    <t>329463</t>
  </si>
  <si>
    <t>Romero Pinheiro dos santos</t>
  </si>
  <si>
    <t>Carlete Martins Guedes Galvão</t>
  </si>
  <si>
    <t>2026-09-30 20:38:37 -&gt; Restauração elemento 36, remoção de amalgama, foi utilizado o sistema adesivo opt Bond e a resina composta Herculite A 2.</t>
  </si>
  <si>
    <t>2356595</t>
  </si>
  <si>
    <t>2356659</t>
  </si>
  <si>
    <t>157555</t>
  </si>
  <si>
    <t>MARCELO APARECIDO DOS SANTOS</t>
  </si>
  <si>
    <t>Wilberth Lincoln Fernandes Araújo</t>
  </si>
  <si>
    <t>01.12.01.00004</t>
  </si>
  <si>
    <t>KIT CIRURGICO SLM- PERIODONTIA</t>
  </si>
  <si>
    <t>2026-09-14 21:20:40 -&gt; Paciente compareceu a consulta de retorno, onde foram realizados os seguintes procedimentos: AVALIAÇÃO da melhora do paciente pelas orientações passadas na ultima consulta, TÉCNICAS manuais para relaxamento muscular e agulhamento seco</t>
  </si>
  <si>
    <t>118.349</t>
  </si>
  <si>
    <t>COMPONENTE TEMP GM 4.5X1.5 ANTIRROTAC</t>
  </si>
  <si>
    <t>01.11.17.00403</t>
  </si>
  <si>
    <t>2360693</t>
  </si>
  <si>
    <t>134570</t>
  </si>
  <si>
    <t>VERA MARIA VERAS DA SILVA NUNES</t>
  </si>
  <si>
    <t>2024-08-21 15:04:34 -&gt; Paciente compareceu relatando leve desconforto na regiao da mucosa. Foi feita a remocao da coroa do implante na regiao do dente 26 e observado aspecto de normalidade na regiao. Paciente relata que nao faz profilaxia ha aproximadamente 1 ano devido a sensibilade. Foi orientada a fazer a prpfilaxia periodica e a placa estabilizadora, devido al bruxismo.</t>
  </si>
  <si>
    <t>2360811</t>
  </si>
  <si>
    <t>101.101</t>
  </si>
  <si>
    <t>ANALOGO REPOSICIONAVEL HIBRIDO PILAR GM</t>
  </si>
  <si>
    <t>01.11.17.00109</t>
  </si>
  <si>
    <t>108.179</t>
  </si>
  <si>
    <t>TRAN.PILAR GM 4.8 MOLDEIRA FECHADA</t>
  </si>
  <si>
    <t>01.11.17.01557</t>
  </si>
  <si>
    <t>115.272</t>
  </si>
  <si>
    <t>PILAR GM 4.8 PARAF REMOVIVEL ALT 3.5</t>
  </si>
  <si>
    <t>01.11.17.01070</t>
  </si>
  <si>
    <t>118.362</t>
  </si>
  <si>
    <t>CILINDRO PROT UNIT PILAR GM DIGITAL</t>
  </si>
  <si>
    <t>01.11.17.00339</t>
  </si>
  <si>
    <t>2361308</t>
  </si>
  <si>
    <t>352403</t>
  </si>
  <si>
    <t>glaucy alves da silva frazão</t>
  </si>
  <si>
    <t>2026-09-21 17:39:54 -&gt; raspagem e profilaxia.</t>
  </si>
  <si>
    <t>2361317</t>
  </si>
  <si>
    <t>350344</t>
  </si>
  <si>
    <t>Lucas Rodrigues Volkweis Lombardi</t>
  </si>
  <si>
    <t>2026-09-15 18:42:21 -&gt; Anamnese e moldagem de placa</t>
  </si>
  <si>
    <t>2361557</t>
  </si>
  <si>
    <t>302916</t>
  </si>
  <si>
    <t>RITA DE CASSIA CARVALHO GHIDETTI</t>
  </si>
  <si>
    <t>2026-09-15 13:40:05 -&gt; Paciente Compareceu a clinica para realização da cirurgia, onde a mesma trouxe exame laboratoriais solicitados, a mesma trouxa no celular. porem ao aferir a pressão, a mesma apresentou niveis pressoricos elevados, com afericao de 170|110mmhg e 160|100 mmhg. então foi entregue a paciente encaminhamento ao cardiologista com solitação do risco cirurgico, impresso e carimbado. encaminhamento tambem foi anexado ao prontuário físico.</t>
  </si>
  <si>
    <t>2361629</t>
  </si>
  <si>
    <t>2026-09-24 12:33:19 -&gt; atendimento realizado pelo aluno aldenaldo da turma 8757 
foi realizado avaliação + orçamento para implante na região do 14 + orientações pré-operatorias + encaminhada para fincanceiro</t>
  </si>
  <si>
    <t>118.346</t>
  </si>
  <si>
    <t>COMPONENTE TEMP GM 3.5X2.5 ANTIRROTAC</t>
  </si>
  <si>
    <t>01.11.17.00395</t>
  </si>
  <si>
    <t>2361702</t>
  </si>
  <si>
    <t>330079</t>
  </si>
  <si>
    <t>aldenir ramos da silva</t>
  </si>
  <si>
    <t>2026-09-15 17:41:07 -&gt; Planejamento+orcamento</t>
  </si>
  <si>
    <t>2361722</t>
  </si>
  <si>
    <t>350241</t>
  </si>
  <si>
    <t>Thaís Rayane Santos do Nascimento</t>
  </si>
  <si>
    <t>Leonardo Vitor Magri</t>
  </si>
  <si>
    <t>2026-07-21 15:14:52 -&gt; Anamnese, exame fisico e tcc</t>
  </si>
  <si>
    <t>2361799</t>
  </si>
  <si>
    <t>126400</t>
  </si>
  <si>
    <t>FRANCISCO GOMES DA SILVA NETO</t>
  </si>
  <si>
    <t>2026-09-15 18:43:26 -&gt; Foi realizado exame clinico, e a queixa do paciente é que nao consegue passar o fio dental nos dentes inferiores. Esta desviando e cortando, quer ajustes. Fratura no elemento dental 22 a nivel coronario. Foi sugerido a extraco da raiz residual + implante + psi. Feito o orcamento o paciente fechou o tratamento.</t>
  </si>
  <si>
    <t>109.944</t>
  </si>
  <si>
    <t>IMPLANTE HELIX GM 3.5X10</t>
  </si>
  <si>
    <t>01.11.17.00910</t>
  </si>
  <si>
    <t>118.345</t>
  </si>
  <si>
    <t>CCOMPONENTE TEMP GM 3.5X1.5 ANTIRROTAC</t>
  </si>
  <si>
    <t>01.11.17.00393</t>
  </si>
  <si>
    <t>BO- 1512</t>
  </si>
  <si>
    <t>BO-1512 CERABONE GRANULES 0.5-1.0MM,2.0CC</t>
  </si>
  <si>
    <t>01.11.27.01175</t>
  </si>
  <si>
    <t>2361812</t>
  </si>
  <si>
    <t>344209</t>
  </si>
  <si>
    <t>SAMIRA PINHO BEZERRA DE ANDRADE</t>
  </si>
  <si>
    <t>Ingrid Heloise Hoffmann Peixoto</t>
  </si>
  <si>
    <t>2026-09-07 13:13:22 -&gt; Falta justificada</t>
  </si>
  <si>
    <t>2361829</t>
  </si>
  <si>
    <t>149733</t>
  </si>
  <si>
    <t>ANTÔNIO DE SOUSA NUNES</t>
  </si>
  <si>
    <t>2026-09-15 15:13:28 -&gt; AVALIAÇÃO DO PACIENTE; ORÇAMENTO DE COROA DO DENTE 14, SOLICITAÇÃO DE TOMOGRAFIA SUPERIOR E INFERIOR PARA EXTRAÇÃO/IMPLANTE.</t>
  </si>
  <si>
    <t>ICMUT 2004</t>
  </si>
  <si>
    <t>INTERF TITANIO C/ RET CM UNITITE 2.0X4MM</t>
  </si>
  <si>
    <t>01.11.26.00879</t>
  </si>
  <si>
    <t>TMFMU</t>
  </si>
  <si>
    <t>ABUT TRANSF MOL MORSE</t>
  </si>
  <si>
    <t>01.11.26.01663</t>
  </si>
  <si>
    <t>2361834</t>
  </si>
  <si>
    <t>2361843</t>
  </si>
  <si>
    <t>351790</t>
  </si>
  <si>
    <t>cledimar frança alves</t>
  </si>
  <si>
    <t>2026-09-16 08:44:23 -&gt; Paciente esteve em clínica para triagem, feito anamnese e orçamento para Colocação de implantes para protocolo inferior com PT superior.</t>
  </si>
  <si>
    <t>01.14.12.00674</t>
  </si>
  <si>
    <t>PROTESE TOTAL</t>
  </si>
  <si>
    <t>22290</t>
  </si>
  <si>
    <t>IMPLANTE UN III CONE MORSE AR 4.0X11</t>
  </si>
  <si>
    <t>01.11.16.00448</t>
  </si>
  <si>
    <t>27434</t>
  </si>
  <si>
    <t>COIFA MINI CONICO CC 4.8</t>
  </si>
  <si>
    <t>01.11.16.00956</t>
  </si>
  <si>
    <t>2362180</t>
  </si>
  <si>
    <t>306941</t>
  </si>
  <si>
    <t>MARIA LUIZA COSTA SANTANA</t>
  </si>
  <si>
    <t>Thais Pereira da Rocha</t>
  </si>
  <si>
    <t>2026-09-16 07:36:52 -&gt; Planejamento para enxerto osseo na região do 11 .segunda tentativa</t>
  </si>
  <si>
    <t>BO-1511</t>
  </si>
  <si>
    <t>CERABONE GRANULES 500-1000 MICRON 1-0 CC</t>
  </si>
  <si>
    <t>01.11.27.01174</t>
  </si>
  <si>
    <t>2362282</t>
  </si>
  <si>
    <t>341329</t>
  </si>
  <si>
    <t>amanda balbino souza</t>
  </si>
  <si>
    <t>2026-09-15 19:15:58 -&gt; Avaliação da paciente
relatou que fez as compressas no trapésio e esqueceu do masseter e temporal; os dias feitos são nos dias da escala de trabalho onde se sente muito tensionada;
trouxe a placa para ajuste, contudo era uma placa de acetato --&gt; realizado a moldagem de nova placa com registro oclusal;
agulhamento seco em trapésio. masseter e temporal
orientaçãoi para condutas em casa: TCC, alongamentos e compressa</t>
  </si>
  <si>
    <t>2363449</t>
  </si>
  <si>
    <t>2366490</t>
  </si>
  <si>
    <t>348718</t>
  </si>
  <si>
    <t>Alice Victoria Ribeiro  DOS SANTOS</t>
  </si>
  <si>
    <t>Alexandre Teodoro Oliveira Silva</t>
  </si>
  <si>
    <t>2026-09-23 20:46:14 -&gt; Orçamento, bandagem e moldagem</t>
  </si>
  <si>
    <t>2366842</t>
  </si>
  <si>
    <t>352565</t>
  </si>
  <si>
    <t>Flávia Mendonça Martins</t>
  </si>
  <si>
    <t>2026-09-28 13:11:33 -&gt; Os exames para o alinhador não ficaram prontos</t>
  </si>
  <si>
    <t>2366881</t>
  </si>
  <si>
    <t>332796</t>
  </si>
  <si>
    <t>Maitê Rodrigues Marques</t>
  </si>
  <si>
    <t>2026-09-23 20:48:22 -&gt; Orçamento, bandagem e moldagem</t>
  </si>
  <si>
    <t>2366883</t>
  </si>
  <si>
    <t>324211</t>
  </si>
  <si>
    <t>Heitor Henrique Corrêa Borges</t>
  </si>
  <si>
    <t>01.14.09.00227</t>
  </si>
  <si>
    <t>BIONATOR DE BALTERS BASICO C/ MOLA COFFIN</t>
  </si>
  <si>
    <t>2026-10-01 13:17:57 -&gt; Moldagem Sup e Inf para Confecção de aparelho ortopédico- Bionator</t>
  </si>
  <si>
    <t>2366905</t>
  </si>
  <si>
    <t>339971</t>
  </si>
  <si>
    <t>ANDRESSA CORRÊA MATOS</t>
  </si>
  <si>
    <t>2026-09-01 00:22:25 -&gt; retirada do mini implante e requerimento de documentação para alinhadores</t>
  </si>
  <si>
    <t>2367084</t>
  </si>
  <si>
    <t>333947</t>
  </si>
  <si>
    <t>EUZENILDA BONFIM LUCAS</t>
  </si>
  <si>
    <t>2026-10-01 13:15:25 -&gt; Manutenção: ativação de Fio sup. 0,16 x 0,25 cooper niti +
Inf. 0,14 niti termo + recologem do 45 e 46.
Solicitação de rodiogrofias para ver referente a perda ÓSSEA sup. anterior + encaminhamento para turma de implante, para ter um porecer sobre a reabilitação posterior.</t>
  </si>
  <si>
    <t>2367115</t>
  </si>
  <si>
    <t>343914</t>
  </si>
  <si>
    <t>BENTO MIGUEL SILVA DE MEDEIROS</t>
  </si>
  <si>
    <t>2026-09-23 20:47:24 -&gt; Orçamento, bandagem e moldagem</t>
  </si>
  <si>
    <t>2367256</t>
  </si>
  <si>
    <t>2367269</t>
  </si>
  <si>
    <t>321731</t>
  </si>
  <si>
    <t>Maria Luísa Barros Lobato Silva</t>
  </si>
  <si>
    <t>2026-09-28 14:04:05 -&gt; Recolagem dos braquetes METÁLICO. Paciente t
Fara Panorâmica verificaÇão do canino</t>
  </si>
  <si>
    <t>erro_integracao</t>
  </si>
  <si>
    <t>298170</t>
  </si>
  <si>
    <t>victória sousa araújo</t>
  </si>
  <si>
    <t>Ana Luiza Maria Rodrigues Couto</t>
  </si>
  <si>
    <t>2026-09-02 14:51:03 -&gt; Tratamento ortodôntico e manutenção mecânica</t>
  </si>
  <si>
    <t>336931</t>
  </si>
  <si>
    <t>MARIA DO SOCORRO FERNANDES DA SILVA</t>
  </si>
  <si>
    <t>Jennifer Landemberger Diniz</t>
  </si>
  <si>
    <t>2026-08-08 13:18:32 -&gt; Foi feito o retorno e paciente foi liberada.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</si>
</sst>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d/yyyy\ h:mm:ss\ AM/PM"/>
    <numFmt numFmtId="165" formatCode="m/d/yyyy"/>
    <numFmt numFmtId="166" formatCode="#,##0.##"/>
  </numFmts>
  <fonts count="2" x14ac:knownFonts="1">
    <font>
      <sz val="11"/>
      <color theme="1"/>
      <name val="Calibri"/>
      <family val="2"/>
      <charset val="1"/>
    </font>
    <font>
      <b/>
      <sz val="11"/>
      <color rgb="FFFFFFFF"/>
      <name val="Calibri"/>
      <charset val="1"/>
    </font>
  </fonts>
  <fills count="4">
    <fill>
      <patternFill patternType="none"/>
    </fill>
    <fill>
      <patternFill patternType="gray125"/>
    </fill>
    <fill>
      <patternFill patternType="solid">
        <fgColor rgb="FFFFC000"/>
        <bgColor rgb="FFFF9900"/>
      </patternFill>
    </fill>
    <fill>
      <patternFill patternType="solid">
        <fgColor rgb="FF1F3864"/>
        <bgColor rgb="FF333333"/>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0" fillId="2" borderId="1" xfId="0" applyFill="1" applyBorder="1"/>
    <xf numFmtId="0" fontId="1" fillId="3" borderId="0" xfId="0" applyFont="1" applyFill="1" applyAlignment="1">
      <alignment vertical="center" wrapText="1"/>
    </xf>
    <xf numFmtId="164" fontId="0" fillId="0" borderId="0" xfId="0" applyNumberFormat="1"/>
    <xf numFmtId="165" fontId="0" fillId="0" borderId="0" xfId="0" applyNumberFormat="1"/>
    <xf numFmtId="166" fontId="0" fillId="0" borderId="0" xfId="0" applyNumberFormat="1"/>
    <xf numFmtId="4" fontId="0" fillId="0" borderId="0" xfId="0" applyNumberFormat="1"/>
    <xf numFmtId="0" fontId="0" fillId="0" borderId="0" xfId="0" applyAlignment="1">
      <alignment wrapText="1"/>
    </xf>
    <xf numFmtId="14" fontId="0" fillId="0" borderId="0" xfId="0" applyNumberFormat="1"/>
  </cellXfs>
  <cellStyles count="1">
    <cellStyle name="Normal" xfId="0" builtinId="0"/>
  </cellStyles>
  <dxfs count="4">
    <dxf>
      <font>
        <b/>
        <color rgb="FF9C5700"/>
      </font>
      <fill>
        <patternFill>
          <bgColor rgb="FFFFEB9C"/>
        </patternFill>
      </fill>
    </dxf>
    <dxf>
      <font>
        <b/>
        <color rgb="FF006100"/>
      </font>
      <fill>
        <patternFill>
          <bgColor rgb="FFC6EFCE"/>
        </patternFill>
      </fill>
    </dxf>
    <dxf>
      <fill>
        <patternFill>
          <bgColor rgb="FFFFEB9C"/>
        </patternFill>
      </fill>
    </dxf>
    <dxf>
      <fill>
        <patternFill>
          <bgColor rgb="FFC6EF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61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C99"/>
      <rgbColor rgb="FF3366FF"/>
      <rgbColor rgb="FF33CCCC"/>
      <rgbColor rgb="FF99CC00"/>
      <rgbColor rgb="FFFFC000"/>
      <rgbColor rgb="FFFF9900"/>
      <rgbColor rgb="FFFF6600"/>
      <rgbColor rgb="FF666699"/>
      <rgbColor rgb="FF969696"/>
      <rgbColor rgb="FF1F3864"/>
      <rgbColor rgb="FF339966"/>
      <rgbColor rgb="FF003300"/>
      <rgbColor rgb="FF333300"/>
      <rgbColor rgb="FF9C57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B793"/>
  <sheetViews>
    <sheetView tabSelected="1" zoomScaleNormal="100" workbookViewId="0">
      <pane ySplit="1" topLeftCell="A2" activePane="bottomLeft" state="frozen"/>
      <selection activeCell="E25" sqref="E25"/>
      <selection pane="bottomLeft" activeCell="I24" sqref="I24"/>
    </sheetView>
  </sheetViews>
  <sheetFormatPr defaultColWidth="8.6640625" defaultRowHeight="14.4" x14ac:dyDescent="0.3"/>
  <cols>
    <col min="3" max="3" width="13.44140625" customWidth="1"/>
    <col min="4" max="4" width="21.44140625" customWidth="1"/>
    <col min="5" max="5" width="12.6640625" customWidth="1"/>
    <col min="6" max="6" width="14" customWidth="1"/>
    <col min="7" max="7" width="14.6640625" customWidth="1"/>
    <col min="9" max="9" width="37.109375" customWidth="1"/>
    <col min="10" max="11" width="9.109375" customWidth="1"/>
    <col min="15" max="15" width="18" customWidth="1"/>
    <col min="16" max="16" width="42" customWidth="1"/>
    <col min="17" max="17" width="21.88671875" customWidth="1"/>
    <col min="21" max="21" width="24" customWidth="1"/>
    <col min="30" max="30" width="62.33203125" customWidth="1"/>
    <col min="33" max="33" width="17.44140625" customWidth="1"/>
    <col min="38" max="38" width="30.109375" customWidth="1"/>
    <col min="46" max="46" width="15.44140625" customWidth="1"/>
    <col min="47" max="47" width="12.33203125" customWidth="1"/>
    <col min="52" max="52" width="35.44140625" customWidth="1"/>
    <col min="53" max="53" width="16.109375" customWidth="1"/>
    <col min="54" max="54" width="27" customWidth="1"/>
  </cols>
  <sheetData>
    <row r="1" spans="1:54" ht="15"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2" t="s">
        <v>50</v>
      </c>
      <c r="AZ1" s="2" t="s">
        <v>51</v>
      </c>
      <c r="BA1" s="2" t="s">
        <v>52</v>
      </c>
      <c r="BB1" s="2" t="s">
        <v>53</v>
      </c>
    </row>
    <row r="2" spans="1:54" x14ac:dyDescent="0.3">
      <c r="A2">
        <v>1</v>
      </c>
      <c r="B2">
        <v>15</v>
      </c>
      <c r="C2" t="s">
        <v>54</v>
      </c>
      <c r="D2" s="3">
        <v>45302.62940972222</v>
      </c>
      <c r="E2" s="8">
        <v>45302</v>
      </c>
      <c r="F2" t="s">
        <v>306</v>
      </c>
      <c r="G2" t="s">
        <v>307</v>
      </c>
      <c r="H2" t="s">
        <v>308</v>
      </c>
      <c r="I2" t="s">
        <v>309</v>
      </c>
      <c r="J2" t="s">
        <v>310</v>
      </c>
      <c r="L2" t="s">
        <v>311</v>
      </c>
      <c r="M2" t="s">
        <v>312</v>
      </c>
      <c r="N2" t="s">
        <v>312</v>
      </c>
      <c r="O2" t="s">
        <v>313</v>
      </c>
      <c r="P2" t="s">
        <v>314</v>
      </c>
      <c r="Q2" s="5">
        <v>1</v>
      </c>
      <c r="R2" s="6">
        <v>100</v>
      </c>
      <c r="S2" s="6">
        <v>100</v>
      </c>
      <c r="T2" s="6">
        <v>0</v>
      </c>
      <c r="U2" s="3">
        <v>46274.208333333343</v>
      </c>
      <c r="W2" t="s">
        <v>315</v>
      </c>
      <c r="X2" t="s">
        <v>70</v>
      </c>
      <c r="Y2" t="s">
        <v>23</v>
      </c>
      <c r="Z2" t="s">
        <v>69</v>
      </c>
      <c r="AA2" t="s">
        <v>69</v>
      </c>
      <c r="AB2" t="s">
        <v>70</v>
      </c>
      <c r="AC2" t="s">
        <v>70</v>
      </c>
      <c r="AD2" t="s">
        <v>316</v>
      </c>
      <c r="AE2" t="s">
        <v>102</v>
      </c>
      <c r="AF2" t="s">
        <v>67</v>
      </c>
      <c r="AH2" t="b">
        <v>1</v>
      </c>
      <c r="AI2" t="b">
        <v>1</v>
      </c>
      <c r="AJ2" t="b">
        <v>0</v>
      </c>
      <c r="AK2" t="b">
        <v>1</v>
      </c>
      <c r="AL2" s="6">
        <v>0</v>
      </c>
      <c r="AM2" s="3">
        <v>45323.458333333343</v>
      </c>
      <c r="AN2">
        <v>1</v>
      </c>
      <c r="AO2" s="3"/>
      <c r="AT2" t="b">
        <v>0</v>
      </c>
      <c r="AU2" t="s">
        <v>74</v>
      </c>
      <c r="AV2" t="b">
        <v>1</v>
      </c>
      <c r="AW2" t="b">
        <v>0</v>
      </c>
      <c r="AX2" s="5">
        <v>0</v>
      </c>
      <c r="AY2" s="3"/>
      <c r="AZ2" t="s">
        <v>67</v>
      </c>
      <c r="BA2" t="s">
        <v>67</v>
      </c>
      <c r="BB2" t="s">
        <v>317</v>
      </c>
    </row>
    <row r="3" spans="1:54" x14ac:dyDescent="0.3">
      <c r="A3">
        <v>1</v>
      </c>
      <c r="B3">
        <v>15</v>
      </c>
      <c r="C3" t="s">
        <v>54</v>
      </c>
      <c r="D3" s="3">
        <v>45302.720960648148</v>
      </c>
      <c r="E3" s="8">
        <v>45302</v>
      </c>
      <c r="F3" t="s">
        <v>318</v>
      </c>
      <c r="G3" t="s">
        <v>307</v>
      </c>
      <c r="H3" t="s">
        <v>319</v>
      </c>
      <c r="I3" t="s">
        <v>320</v>
      </c>
      <c r="J3" t="s">
        <v>310</v>
      </c>
      <c r="K3" t="s">
        <v>321</v>
      </c>
      <c r="L3" t="s">
        <v>311</v>
      </c>
      <c r="M3" t="s">
        <v>312</v>
      </c>
      <c r="O3" t="s">
        <v>313</v>
      </c>
      <c r="P3" t="s">
        <v>314</v>
      </c>
      <c r="Q3" s="5">
        <v>1</v>
      </c>
      <c r="R3" s="6">
        <v>100</v>
      </c>
      <c r="S3" s="6">
        <v>100</v>
      </c>
      <c r="T3" s="6">
        <v>0</v>
      </c>
      <c r="U3" s="3">
        <v>45506.229166666657</v>
      </c>
      <c r="W3" t="s">
        <v>322</v>
      </c>
      <c r="X3" t="s">
        <v>70</v>
      </c>
      <c r="Y3" t="s">
        <v>23</v>
      </c>
      <c r="Z3" t="s">
        <v>69</v>
      </c>
      <c r="AA3" t="s">
        <v>69</v>
      </c>
      <c r="AB3" t="s">
        <v>70</v>
      </c>
      <c r="AC3" t="s">
        <v>70</v>
      </c>
      <c r="AD3" t="s">
        <v>316</v>
      </c>
      <c r="AE3" t="s">
        <v>102</v>
      </c>
      <c r="AF3" t="s">
        <v>67</v>
      </c>
      <c r="AH3" t="b">
        <v>1</v>
      </c>
      <c r="AI3" t="b">
        <v>0</v>
      </c>
      <c r="AJ3" t="b">
        <v>0</v>
      </c>
      <c r="AK3" t="b">
        <v>0</v>
      </c>
      <c r="AL3" s="6">
        <v>0</v>
      </c>
      <c r="AM3" s="3">
        <v>45506.229166666657</v>
      </c>
      <c r="AN3">
        <v>1</v>
      </c>
      <c r="AO3" s="3"/>
      <c r="AT3" t="b">
        <v>0</v>
      </c>
      <c r="AU3" t="s">
        <v>74</v>
      </c>
      <c r="AV3" t="b">
        <v>1</v>
      </c>
      <c r="AW3" t="b">
        <v>0</v>
      </c>
      <c r="AX3" s="5">
        <v>0</v>
      </c>
      <c r="AY3" s="3"/>
      <c r="AZ3" t="s">
        <v>67</v>
      </c>
      <c r="BA3" t="s">
        <v>67</v>
      </c>
      <c r="BB3" t="s">
        <v>317</v>
      </c>
    </row>
    <row r="4" spans="1:54" x14ac:dyDescent="0.3">
      <c r="A4">
        <v>1</v>
      </c>
      <c r="B4">
        <v>15</v>
      </c>
      <c r="C4" t="s">
        <v>54</v>
      </c>
      <c r="D4" s="3">
        <v>45303.36010416667</v>
      </c>
      <c r="E4" s="8">
        <v>45303</v>
      </c>
      <c r="F4" t="s">
        <v>323</v>
      </c>
      <c r="G4" t="s">
        <v>307</v>
      </c>
      <c r="H4" t="s">
        <v>324</v>
      </c>
      <c r="I4" t="s">
        <v>325</v>
      </c>
      <c r="J4" t="s">
        <v>310</v>
      </c>
      <c r="K4" t="s">
        <v>326</v>
      </c>
      <c r="L4" t="s">
        <v>311</v>
      </c>
      <c r="M4" t="s">
        <v>312</v>
      </c>
      <c r="N4" t="s">
        <v>312</v>
      </c>
      <c r="O4" t="s">
        <v>313</v>
      </c>
      <c r="P4" t="s">
        <v>314</v>
      </c>
      <c r="Q4" s="5">
        <v>1</v>
      </c>
      <c r="R4" s="6">
        <v>100</v>
      </c>
      <c r="S4" s="6">
        <v>100</v>
      </c>
      <c r="T4" s="6">
        <v>0</v>
      </c>
      <c r="U4" s="3">
        <v>45303.25</v>
      </c>
      <c r="W4" t="s">
        <v>327</v>
      </c>
      <c r="X4" t="s">
        <v>70</v>
      </c>
      <c r="Y4" t="s">
        <v>23</v>
      </c>
      <c r="Z4" t="s">
        <v>69</v>
      </c>
      <c r="AA4" t="s">
        <v>69</v>
      </c>
      <c r="AB4" t="s">
        <v>70</v>
      </c>
      <c r="AC4" t="s">
        <v>70</v>
      </c>
      <c r="AD4" t="s">
        <v>316</v>
      </c>
      <c r="AE4" t="s">
        <v>102</v>
      </c>
      <c r="AF4" t="s">
        <v>67</v>
      </c>
      <c r="AH4" t="b">
        <v>0</v>
      </c>
      <c r="AI4" t="b">
        <v>1</v>
      </c>
      <c r="AJ4" t="b">
        <v>0</v>
      </c>
      <c r="AK4" t="b">
        <v>1</v>
      </c>
      <c r="AL4" s="6">
        <v>0</v>
      </c>
      <c r="AM4" s="3">
        <v>45303.25</v>
      </c>
      <c r="AN4">
        <v>1</v>
      </c>
      <c r="AO4" s="3"/>
      <c r="AT4" t="b">
        <v>0</v>
      </c>
      <c r="AU4" t="s">
        <v>74</v>
      </c>
      <c r="AV4" t="b">
        <v>1</v>
      </c>
      <c r="AW4" t="b">
        <v>0</v>
      </c>
      <c r="AX4" s="5">
        <v>0</v>
      </c>
      <c r="AY4" s="3"/>
      <c r="AZ4" t="s">
        <v>67</v>
      </c>
      <c r="BA4" t="s">
        <v>67</v>
      </c>
      <c r="BB4" t="s">
        <v>317</v>
      </c>
    </row>
    <row r="5" spans="1:54" x14ac:dyDescent="0.3">
      <c r="A5">
        <v>1</v>
      </c>
      <c r="B5">
        <v>15</v>
      </c>
      <c r="C5" t="s">
        <v>54</v>
      </c>
      <c r="D5" s="3">
        <v>45304.458819444437</v>
      </c>
      <c r="E5" s="8">
        <v>45304</v>
      </c>
      <c r="F5" t="s">
        <v>328</v>
      </c>
      <c r="G5" t="s">
        <v>307</v>
      </c>
      <c r="H5" t="s">
        <v>329</v>
      </c>
      <c r="I5" t="s">
        <v>330</v>
      </c>
      <c r="J5" t="s">
        <v>310</v>
      </c>
      <c r="K5" t="s">
        <v>331</v>
      </c>
      <c r="L5" t="s">
        <v>311</v>
      </c>
      <c r="M5" t="s">
        <v>312</v>
      </c>
      <c r="N5" t="s">
        <v>312</v>
      </c>
      <c r="O5" t="s">
        <v>313</v>
      </c>
      <c r="P5" t="s">
        <v>314</v>
      </c>
      <c r="Q5" s="5">
        <v>1</v>
      </c>
      <c r="R5" s="6">
        <v>100</v>
      </c>
      <c r="S5" s="6">
        <v>100</v>
      </c>
      <c r="T5" s="6">
        <v>0</v>
      </c>
      <c r="U5" s="3">
        <v>45324.458333333343</v>
      </c>
      <c r="W5" t="s">
        <v>332</v>
      </c>
      <c r="X5" t="s">
        <v>70</v>
      </c>
      <c r="Y5" t="s">
        <v>23</v>
      </c>
      <c r="Z5" t="s">
        <v>69</v>
      </c>
      <c r="AA5" t="s">
        <v>69</v>
      </c>
      <c r="AB5" t="s">
        <v>70</v>
      </c>
      <c r="AC5" t="s">
        <v>70</v>
      </c>
      <c r="AD5" t="s">
        <v>316</v>
      </c>
      <c r="AE5" t="s">
        <v>102</v>
      </c>
      <c r="AF5" t="s">
        <v>67</v>
      </c>
      <c r="AH5" t="b">
        <v>1</v>
      </c>
      <c r="AI5" t="b">
        <v>1</v>
      </c>
      <c r="AJ5" t="b">
        <v>0</v>
      </c>
      <c r="AK5" t="b">
        <v>1</v>
      </c>
      <c r="AL5" s="6">
        <v>0</v>
      </c>
      <c r="AM5" s="3">
        <v>45324.458333333343</v>
      </c>
      <c r="AN5">
        <v>1</v>
      </c>
      <c r="AO5" s="3"/>
      <c r="AT5" t="b">
        <v>0</v>
      </c>
      <c r="AU5" t="s">
        <v>74</v>
      </c>
      <c r="AV5" t="b">
        <v>1</v>
      </c>
      <c r="AW5" t="b">
        <v>0</v>
      </c>
      <c r="AX5" s="5">
        <v>0</v>
      </c>
      <c r="AY5" s="3"/>
      <c r="AZ5" t="s">
        <v>67</v>
      </c>
      <c r="BA5" t="s">
        <v>67</v>
      </c>
      <c r="BB5" t="s">
        <v>317</v>
      </c>
    </row>
    <row r="6" spans="1:54" x14ac:dyDescent="0.3">
      <c r="A6">
        <v>1</v>
      </c>
      <c r="B6">
        <v>15</v>
      </c>
      <c r="C6" t="s">
        <v>54</v>
      </c>
      <c r="D6" s="3">
        <v>45310.401967592603</v>
      </c>
      <c r="E6" s="8">
        <v>45398</v>
      </c>
      <c r="F6" t="s">
        <v>333</v>
      </c>
      <c r="G6" t="s">
        <v>307</v>
      </c>
      <c r="H6" t="s">
        <v>334</v>
      </c>
      <c r="I6" t="s">
        <v>335</v>
      </c>
      <c r="J6" t="s">
        <v>336</v>
      </c>
      <c r="K6" t="s">
        <v>337</v>
      </c>
      <c r="L6" t="s">
        <v>338</v>
      </c>
      <c r="M6" t="s">
        <v>97</v>
      </c>
      <c r="O6" t="s">
        <v>339</v>
      </c>
      <c r="P6" t="s">
        <v>340</v>
      </c>
      <c r="Q6" s="5">
        <v>2</v>
      </c>
      <c r="R6" s="6">
        <v>167.4</v>
      </c>
      <c r="S6" s="6">
        <v>334.8</v>
      </c>
      <c r="T6" s="6">
        <v>216</v>
      </c>
      <c r="U6" s="3">
        <v>46206.4375</v>
      </c>
      <c r="W6" t="s">
        <v>341</v>
      </c>
      <c r="X6" t="s">
        <v>70</v>
      </c>
      <c r="Y6" t="s">
        <v>23</v>
      </c>
      <c r="Z6" t="s">
        <v>69</v>
      </c>
      <c r="AA6" t="s">
        <v>69</v>
      </c>
      <c r="AB6" t="s">
        <v>70</v>
      </c>
      <c r="AC6" t="s">
        <v>70</v>
      </c>
      <c r="AD6" t="s">
        <v>101</v>
      </c>
      <c r="AF6" t="s">
        <v>67</v>
      </c>
      <c r="AH6" t="b">
        <v>0</v>
      </c>
      <c r="AI6" t="b">
        <v>0</v>
      </c>
      <c r="AJ6" t="b">
        <v>0</v>
      </c>
      <c r="AK6" t="b">
        <v>0</v>
      </c>
      <c r="AL6" s="6">
        <v>108</v>
      </c>
      <c r="AM6" s="3">
        <v>45714.25</v>
      </c>
      <c r="AN6">
        <v>1</v>
      </c>
      <c r="AO6" s="3"/>
      <c r="AT6" t="b">
        <v>0</v>
      </c>
      <c r="AU6" t="s">
        <v>74</v>
      </c>
      <c r="AV6" t="b">
        <v>1</v>
      </c>
      <c r="AW6" t="b">
        <v>0</v>
      </c>
      <c r="AX6" s="5">
        <v>0</v>
      </c>
      <c r="AY6" s="3"/>
      <c r="AZ6" t="s">
        <v>67</v>
      </c>
      <c r="BA6" t="s">
        <v>67</v>
      </c>
      <c r="BB6" t="s">
        <v>317</v>
      </c>
    </row>
    <row r="7" spans="1:54" x14ac:dyDescent="0.3">
      <c r="A7">
        <v>1</v>
      </c>
      <c r="B7">
        <v>15</v>
      </c>
      <c r="C7" t="s">
        <v>54</v>
      </c>
      <c r="D7" s="3">
        <v>45310.401967592603</v>
      </c>
      <c r="E7" s="8">
        <v>45398</v>
      </c>
      <c r="F7" t="s">
        <v>333</v>
      </c>
      <c r="G7" t="s">
        <v>307</v>
      </c>
      <c r="H7" t="s">
        <v>334</v>
      </c>
      <c r="I7" t="s">
        <v>335</v>
      </c>
      <c r="J7" t="s">
        <v>336</v>
      </c>
      <c r="K7" t="s">
        <v>337</v>
      </c>
      <c r="L7" t="s">
        <v>338</v>
      </c>
      <c r="M7" t="s">
        <v>97</v>
      </c>
      <c r="O7" t="s">
        <v>342</v>
      </c>
      <c r="P7" t="s">
        <v>343</v>
      </c>
      <c r="Q7" s="5">
        <v>2</v>
      </c>
      <c r="R7" s="6">
        <v>251.1</v>
      </c>
      <c r="S7" s="6">
        <v>502.2</v>
      </c>
      <c r="T7" s="6">
        <v>324</v>
      </c>
      <c r="U7" s="3">
        <v>46206.4375</v>
      </c>
      <c r="W7" t="s">
        <v>341</v>
      </c>
      <c r="X7" t="s">
        <v>70</v>
      </c>
      <c r="Y7" t="s">
        <v>23</v>
      </c>
      <c r="Z7" t="s">
        <v>69</v>
      </c>
      <c r="AA7" t="s">
        <v>69</v>
      </c>
      <c r="AB7" t="s">
        <v>70</v>
      </c>
      <c r="AC7" t="s">
        <v>70</v>
      </c>
      <c r="AD7" t="s">
        <v>101</v>
      </c>
      <c r="AE7" t="s">
        <v>102</v>
      </c>
      <c r="AF7" t="s">
        <v>67</v>
      </c>
      <c r="AH7" t="b">
        <v>0</v>
      </c>
      <c r="AI7" t="b">
        <v>0</v>
      </c>
      <c r="AJ7" t="b">
        <v>0</v>
      </c>
      <c r="AK7" t="b">
        <v>0</v>
      </c>
      <c r="AL7" s="6">
        <v>162</v>
      </c>
      <c r="AM7" s="3">
        <v>45714.25</v>
      </c>
      <c r="AN7">
        <v>1</v>
      </c>
      <c r="AO7" s="3"/>
      <c r="AT7" t="b">
        <v>0</v>
      </c>
      <c r="AU7" t="s">
        <v>74</v>
      </c>
      <c r="AV7" t="b">
        <v>1</v>
      </c>
      <c r="AW7" t="b">
        <v>0</v>
      </c>
      <c r="AX7" s="5">
        <v>0</v>
      </c>
      <c r="AY7" s="3"/>
      <c r="AZ7" t="s">
        <v>67</v>
      </c>
      <c r="BA7" t="s">
        <v>67</v>
      </c>
      <c r="BB7" t="s">
        <v>317</v>
      </c>
    </row>
    <row r="8" spans="1:54" x14ac:dyDescent="0.3">
      <c r="A8">
        <v>1</v>
      </c>
      <c r="B8">
        <v>15</v>
      </c>
      <c r="C8" t="s">
        <v>54</v>
      </c>
      <c r="D8" s="3">
        <v>45317.407476851848</v>
      </c>
      <c r="E8" s="8">
        <v>45317</v>
      </c>
      <c r="F8" t="s">
        <v>344</v>
      </c>
      <c r="G8" t="s">
        <v>307</v>
      </c>
      <c r="H8" t="s">
        <v>345</v>
      </c>
      <c r="I8" t="s">
        <v>346</v>
      </c>
      <c r="J8" t="s">
        <v>310</v>
      </c>
      <c r="K8" t="s">
        <v>347</v>
      </c>
      <c r="L8" t="s">
        <v>348</v>
      </c>
      <c r="M8" t="s">
        <v>312</v>
      </c>
      <c r="N8" t="s">
        <v>312</v>
      </c>
      <c r="O8" t="s">
        <v>313</v>
      </c>
      <c r="P8" t="s">
        <v>314</v>
      </c>
      <c r="Q8" s="5">
        <v>1</v>
      </c>
      <c r="R8" s="6">
        <v>100</v>
      </c>
      <c r="S8" s="6">
        <v>100</v>
      </c>
      <c r="T8" s="6">
        <v>0</v>
      </c>
      <c r="U8" s="3">
        <v>45318.229166666657</v>
      </c>
      <c r="W8" t="s">
        <v>349</v>
      </c>
      <c r="X8" t="s">
        <v>70</v>
      </c>
      <c r="Y8" t="s">
        <v>23</v>
      </c>
      <c r="Z8" t="s">
        <v>69</v>
      </c>
      <c r="AA8" t="s">
        <v>69</v>
      </c>
      <c r="AB8" t="s">
        <v>70</v>
      </c>
      <c r="AC8" t="s">
        <v>70</v>
      </c>
      <c r="AD8" t="s">
        <v>316</v>
      </c>
      <c r="AE8" t="s">
        <v>102</v>
      </c>
      <c r="AF8" t="s">
        <v>67</v>
      </c>
      <c r="AH8" t="b">
        <v>1</v>
      </c>
      <c r="AI8" t="b">
        <v>1</v>
      </c>
      <c r="AJ8" t="b">
        <v>0</v>
      </c>
      <c r="AK8" t="b">
        <v>1</v>
      </c>
      <c r="AL8" s="6">
        <v>0</v>
      </c>
      <c r="AM8" s="3">
        <v>45318.229166666657</v>
      </c>
      <c r="AN8">
        <v>1</v>
      </c>
      <c r="AO8" s="3"/>
      <c r="AT8" t="b">
        <v>0</v>
      </c>
      <c r="AU8" t="s">
        <v>74</v>
      </c>
      <c r="AV8" t="b">
        <v>1</v>
      </c>
      <c r="AW8" t="b">
        <v>0</v>
      </c>
      <c r="AX8" s="5">
        <v>0</v>
      </c>
      <c r="AY8" s="3"/>
      <c r="AZ8" t="s">
        <v>67</v>
      </c>
      <c r="BA8" t="s">
        <v>67</v>
      </c>
      <c r="BB8" t="s">
        <v>317</v>
      </c>
    </row>
    <row r="9" spans="1:54" x14ac:dyDescent="0.3">
      <c r="A9">
        <v>1</v>
      </c>
      <c r="B9">
        <v>15</v>
      </c>
      <c r="C9" t="s">
        <v>54</v>
      </c>
      <c r="D9" s="3">
        <v>45317.738900462973</v>
      </c>
      <c r="E9" s="8">
        <v>45317</v>
      </c>
      <c r="F9" t="s">
        <v>350</v>
      </c>
      <c r="G9" t="s">
        <v>307</v>
      </c>
      <c r="H9" t="s">
        <v>351</v>
      </c>
      <c r="I9" t="s">
        <v>352</v>
      </c>
      <c r="J9" t="s">
        <v>310</v>
      </c>
      <c r="K9" t="s">
        <v>353</v>
      </c>
      <c r="L9" t="s">
        <v>348</v>
      </c>
      <c r="M9" t="s">
        <v>312</v>
      </c>
      <c r="O9" t="s">
        <v>313</v>
      </c>
      <c r="P9" t="s">
        <v>314</v>
      </c>
      <c r="Q9" s="5">
        <v>1</v>
      </c>
      <c r="R9" s="6">
        <v>100</v>
      </c>
      <c r="S9" s="6">
        <v>100</v>
      </c>
      <c r="T9" s="6">
        <v>0</v>
      </c>
      <c r="U9" s="3">
        <v>45422.458333333343</v>
      </c>
      <c r="W9" t="s">
        <v>354</v>
      </c>
      <c r="X9" t="s">
        <v>70</v>
      </c>
      <c r="Y9" t="s">
        <v>23</v>
      </c>
      <c r="Z9" t="s">
        <v>69</v>
      </c>
      <c r="AA9" t="s">
        <v>69</v>
      </c>
      <c r="AB9" t="s">
        <v>70</v>
      </c>
      <c r="AC9" t="s">
        <v>70</v>
      </c>
      <c r="AD9" t="s">
        <v>316</v>
      </c>
      <c r="AE9" t="s">
        <v>102</v>
      </c>
      <c r="AF9" t="s">
        <v>67</v>
      </c>
      <c r="AH9" t="b">
        <v>0</v>
      </c>
      <c r="AI9" t="b">
        <v>0</v>
      </c>
      <c r="AJ9" t="b">
        <v>0</v>
      </c>
      <c r="AK9" t="b">
        <v>1</v>
      </c>
      <c r="AL9" s="6">
        <v>0</v>
      </c>
      <c r="AM9" s="3">
        <v>45422.458333333343</v>
      </c>
      <c r="AN9">
        <v>1</v>
      </c>
      <c r="AO9" s="3"/>
      <c r="AT9" t="b">
        <v>0</v>
      </c>
      <c r="AU9" t="s">
        <v>74</v>
      </c>
      <c r="AV9" t="b">
        <v>1</v>
      </c>
      <c r="AW9" t="b">
        <v>0</v>
      </c>
      <c r="AX9" s="5">
        <v>0</v>
      </c>
      <c r="AY9" s="3"/>
      <c r="AZ9" t="s">
        <v>67</v>
      </c>
      <c r="BA9" t="s">
        <v>67</v>
      </c>
      <c r="BB9" t="s">
        <v>317</v>
      </c>
    </row>
    <row r="10" spans="1:54" x14ac:dyDescent="0.3">
      <c r="A10">
        <v>1</v>
      </c>
      <c r="B10">
        <v>15</v>
      </c>
      <c r="C10" t="s">
        <v>54</v>
      </c>
      <c r="D10" s="3">
        <v>45318.617013888892</v>
      </c>
      <c r="E10" s="8">
        <v>45318</v>
      </c>
      <c r="F10" t="s">
        <v>355</v>
      </c>
      <c r="G10" t="s">
        <v>307</v>
      </c>
      <c r="H10" t="s">
        <v>356</v>
      </c>
      <c r="I10" t="s">
        <v>357</v>
      </c>
      <c r="J10" t="s">
        <v>310</v>
      </c>
      <c r="K10" t="s">
        <v>358</v>
      </c>
      <c r="L10" t="s">
        <v>348</v>
      </c>
      <c r="M10" t="s">
        <v>312</v>
      </c>
      <c r="N10" t="s">
        <v>312</v>
      </c>
      <c r="O10" t="s">
        <v>313</v>
      </c>
      <c r="P10" t="s">
        <v>314</v>
      </c>
      <c r="Q10" s="5">
        <v>1</v>
      </c>
      <c r="R10" s="6">
        <v>100</v>
      </c>
      <c r="S10" s="6">
        <v>100</v>
      </c>
      <c r="T10" s="6">
        <v>0</v>
      </c>
      <c r="U10" s="3">
        <v>45318.5</v>
      </c>
      <c r="W10" t="s">
        <v>359</v>
      </c>
      <c r="X10" t="s">
        <v>70</v>
      </c>
      <c r="Y10" t="s">
        <v>23</v>
      </c>
      <c r="Z10" t="s">
        <v>69</v>
      </c>
      <c r="AA10" t="s">
        <v>69</v>
      </c>
      <c r="AB10" t="s">
        <v>70</v>
      </c>
      <c r="AC10" t="s">
        <v>70</v>
      </c>
      <c r="AD10" t="s">
        <v>316</v>
      </c>
      <c r="AE10" t="s">
        <v>102</v>
      </c>
      <c r="AF10" t="s">
        <v>67</v>
      </c>
      <c r="AH10" t="b">
        <v>0</v>
      </c>
      <c r="AI10" t="b">
        <v>1</v>
      </c>
      <c r="AJ10" t="b">
        <v>0</v>
      </c>
      <c r="AK10" t="b">
        <v>1</v>
      </c>
      <c r="AL10" s="6">
        <v>0</v>
      </c>
      <c r="AM10" s="3">
        <v>45318.5</v>
      </c>
      <c r="AN10">
        <v>1</v>
      </c>
      <c r="AO10" s="3"/>
      <c r="AT10" t="b">
        <v>0</v>
      </c>
      <c r="AU10" t="s">
        <v>74</v>
      </c>
      <c r="AV10" t="b">
        <v>1</v>
      </c>
      <c r="AW10" t="b">
        <v>0</v>
      </c>
      <c r="AX10" s="5">
        <v>0</v>
      </c>
      <c r="AY10" s="3"/>
      <c r="AZ10" t="s">
        <v>67</v>
      </c>
      <c r="BA10" t="s">
        <v>67</v>
      </c>
      <c r="BB10" t="s">
        <v>317</v>
      </c>
    </row>
    <row r="11" spans="1:54" x14ac:dyDescent="0.3">
      <c r="A11">
        <v>1</v>
      </c>
      <c r="B11">
        <v>15</v>
      </c>
      <c r="C11" t="s">
        <v>54</v>
      </c>
      <c r="D11" s="3">
        <v>45344.427291666667</v>
      </c>
      <c r="E11" s="8">
        <v>45344</v>
      </c>
      <c r="F11" t="s">
        <v>360</v>
      </c>
      <c r="G11" t="s">
        <v>307</v>
      </c>
      <c r="H11" t="s">
        <v>361</v>
      </c>
      <c r="I11" t="s">
        <v>362</v>
      </c>
      <c r="J11" t="s">
        <v>363</v>
      </c>
      <c r="K11" t="s">
        <v>364</v>
      </c>
      <c r="L11" t="s">
        <v>365</v>
      </c>
      <c r="M11" t="s">
        <v>366</v>
      </c>
      <c r="N11" t="s">
        <v>366</v>
      </c>
      <c r="O11" t="s">
        <v>367</v>
      </c>
      <c r="P11" t="s">
        <v>368</v>
      </c>
      <c r="Q11" s="5">
        <v>2</v>
      </c>
      <c r="R11" s="6">
        <v>10</v>
      </c>
      <c r="S11" s="6">
        <v>20</v>
      </c>
      <c r="T11" s="6">
        <v>2.44</v>
      </c>
      <c r="U11" s="3">
        <v>46225.25</v>
      </c>
      <c r="W11" t="s">
        <v>369</v>
      </c>
      <c r="X11" t="s">
        <v>67</v>
      </c>
      <c r="Y11" t="s">
        <v>68</v>
      </c>
      <c r="Z11" t="s">
        <v>69</v>
      </c>
      <c r="AA11" t="s">
        <v>69</v>
      </c>
      <c r="AB11" t="s">
        <v>70</v>
      </c>
      <c r="AC11" t="s">
        <v>70</v>
      </c>
      <c r="AD11" t="s">
        <v>370</v>
      </c>
      <c r="AE11" t="s">
        <v>371</v>
      </c>
      <c r="AF11" t="s">
        <v>67</v>
      </c>
      <c r="AG11" t="s">
        <v>367</v>
      </c>
      <c r="AH11" t="b">
        <v>0</v>
      </c>
      <c r="AI11" t="b">
        <v>0</v>
      </c>
      <c r="AJ11" t="b">
        <v>0</v>
      </c>
      <c r="AK11" t="b">
        <v>0</v>
      </c>
      <c r="AL11" s="6">
        <v>1.22</v>
      </c>
      <c r="AM11" s="3">
        <v>46225.25</v>
      </c>
      <c r="AN11">
        <v>1</v>
      </c>
      <c r="AO11" s="3"/>
      <c r="AT11" t="b">
        <v>0</v>
      </c>
      <c r="AU11" t="s">
        <v>74</v>
      </c>
      <c r="AV11" t="b">
        <v>1</v>
      </c>
      <c r="AW11" t="b">
        <v>0</v>
      </c>
      <c r="AX11" s="5">
        <v>0</v>
      </c>
      <c r="AY11" s="3"/>
      <c r="AZ11" t="s">
        <v>67</v>
      </c>
      <c r="BA11" t="s">
        <v>67</v>
      </c>
      <c r="BB11" t="s">
        <v>317</v>
      </c>
    </row>
    <row r="12" spans="1:54" x14ac:dyDescent="0.3">
      <c r="A12">
        <v>1</v>
      </c>
      <c r="B12">
        <v>15</v>
      </c>
      <c r="C12" t="s">
        <v>54</v>
      </c>
      <c r="D12" s="3">
        <v>45344.427291666667</v>
      </c>
      <c r="E12" s="8">
        <v>45344</v>
      </c>
      <c r="F12">
        <v>1822144</v>
      </c>
      <c r="G12" t="s">
        <v>307</v>
      </c>
      <c r="H12" t="s">
        <v>361</v>
      </c>
      <c r="I12" t="s">
        <v>362</v>
      </c>
      <c r="J12" t="s">
        <v>363</v>
      </c>
      <c r="K12" t="s">
        <v>364</v>
      </c>
      <c r="L12" t="s">
        <v>365</v>
      </c>
      <c r="M12" t="s">
        <v>366</v>
      </c>
      <c r="N12" t="s">
        <v>366</v>
      </c>
      <c r="O12" t="s">
        <v>372</v>
      </c>
      <c r="P12" t="s">
        <v>373</v>
      </c>
      <c r="Q12" s="5">
        <v>1</v>
      </c>
      <c r="R12" s="6">
        <v>10</v>
      </c>
      <c r="S12" s="6">
        <v>10</v>
      </c>
      <c r="T12" s="6">
        <v>1.22</v>
      </c>
      <c r="U12" s="3">
        <v>46225.25</v>
      </c>
      <c r="W12" t="s">
        <v>369</v>
      </c>
      <c r="X12" t="s">
        <v>67</v>
      </c>
      <c r="Y12" t="s">
        <v>68</v>
      </c>
      <c r="Z12" t="s">
        <v>69</v>
      </c>
      <c r="AA12" t="s">
        <v>69</v>
      </c>
      <c r="AB12" t="s">
        <v>70</v>
      </c>
      <c r="AC12" t="s">
        <v>70</v>
      </c>
      <c r="AD12" t="s">
        <v>370</v>
      </c>
      <c r="AE12" t="s">
        <v>371</v>
      </c>
      <c r="AF12" t="s">
        <v>67</v>
      </c>
      <c r="AG12" t="s">
        <v>372</v>
      </c>
      <c r="AH12" t="b">
        <v>0</v>
      </c>
      <c r="AI12" t="b">
        <v>0</v>
      </c>
      <c r="AJ12" t="b">
        <v>0</v>
      </c>
      <c r="AK12" t="b">
        <v>0</v>
      </c>
      <c r="AL12" s="6">
        <v>1.22</v>
      </c>
      <c r="AM12" s="3">
        <v>46225.25</v>
      </c>
      <c r="AN12">
        <v>1</v>
      </c>
      <c r="AO12" s="3"/>
      <c r="AT12" t="b">
        <v>0</v>
      </c>
      <c r="AU12" t="s">
        <v>74</v>
      </c>
      <c r="AV12" t="b">
        <v>1</v>
      </c>
      <c r="AW12" t="b">
        <v>0</v>
      </c>
      <c r="AX12" s="5">
        <v>0</v>
      </c>
      <c r="AY12" s="3"/>
      <c r="AZ12" t="s">
        <v>67</v>
      </c>
      <c r="BA12" t="s">
        <v>67</v>
      </c>
      <c r="BB12" t="s">
        <v>317</v>
      </c>
    </row>
    <row r="13" spans="1:54" x14ac:dyDescent="0.3">
      <c r="A13">
        <v>1</v>
      </c>
      <c r="B13">
        <v>15</v>
      </c>
      <c r="C13" t="s">
        <v>54</v>
      </c>
      <c r="D13" s="3">
        <v>45344.427291666667</v>
      </c>
      <c r="E13" s="8">
        <v>45344</v>
      </c>
      <c r="F13" t="s">
        <v>360</v>
      </c>
      <c r="G13" t="s">
        <v>307</v>
      </c>
      <c r="H13" t="s">
        <v>361</v>
      </c>
      <c r="I13" t="s">
        <v>362</v>
      </c>
      <c r="J13" t="s">
        <v>363</v>
      </c>
      <c r="K13" t="s">
        <v>364</v>
      </c>
      <c r="L13" t="s">
        <v>365</v>
      </c>
      <c r="M13" t="s">
        <v>366</v>
      </c>
      <c r="N13" t="s">
        <v>366</v>
      </c>
      <c r="O13" t="s">
        <v>374</v>
      </c>
      <c r="P13" t="s">
        <v>375</v>
      </c>
      <c r="Q13" s="5">
        <v>1</v>
      </c>
      <c r="R13" s="6">
        <v>10</v>
      </c>
      <c r="S13" s="6">
        <v>10</v>
      </c>
      <c r="T13" s="6">
        <v>1.22</v>
      </c>
      <c r="U13" s="3">
        <v>46225.25</v>
      </c>
      <c r="W13" t="s">
        <v>369</v>
      </c>
      <c r="X13" t="s">
        <v>67</v>
      </c>
      <c r="Y13" t="s">
        <v>68</v>
      </c>
      <c r="Z13" t="s">
        <v>69</v>
      </c>
      <c r="AA13" t="s">
        <v>69</v>
      </c>
      <c r="AB13" t="s">
        <v>70</v>
      </c>
      <c r="AC13" t="s">
        <v>70</v>
      </c>
      <c r="AD13" t="s">
        <v>370</v>
      </c>
      <c r="AE13" t="s">
        <v>371</v>
      </c>
      <c r="AF13" t="s">
        <v>67</v>
      </c>
      <c r="AG13" t="s">
        <v>374</v>
      </c>
      <c r="AH13" t="b">
        <v>0</v>
      </c>
      <c r="AI13" t="b">
        <v>0</v>
      </c>
      <c r="AJ13" t="b">
        <v>0</v>
      </c>
      <c r="AK13" t="b">
        <v>0</v>
      </c>
      <c r="AL13" s="6">
        <v>1.22</v>
      </c>
      <c r="AM13" s="3">
        <v>46225.25</v>
      </c>
      <c r="AN13">
        <v>1</v>
      </c>
      <c r="AO13" s="3"/>
      <c r="AT13" t="b">
        <v>0</v>
      </c>
      <c r="AU13" t="s">
        <v>74</v>
      </c>
      <c r="AV13" t="b">
        <v>1</v>
      </c>
      <c r="AW13" t="b">
        <v>0</v>
      </c>
      <c r="AX13" s="5">
        <v>0</v>
      </c>
      <c r="AY13" s="3"/>
      <c r="AZ13" t="s">
        <v>67</v>
      </c>
      <c r="BA13" t="s">
        <v>67</v>
      </c>
      <c r="BB13" t="s">
        <v>317</v>
      </c>
    </row>
    <row r="14" spans="1:54" x14ac:dyDescent="0.3">
      <c r="A14">
        <v>1</v>
      </c>
      <c r="B14">
        <v>15</v>
      </c>
      <c r="C14" t="s">
        <v>54</v>
      </c>
      <c r="D14" s="3">
        <v>45344.427291666667</v>
      </c>
      <c r="E14" s="8">
        <v>45344</v>
      </c>
      <c r="F14" t="s">
        <v>360</v>
      </c>
      <c r="G14" t="s">
        <v>307</v>
      </c>
      <c r="H14" t="s">
        <v>361</v>
      </c>
      <c r="I14" t="s">
        <v>362</v>
      </c>
      <c r="J14" t="s">
        <v>363</v>
      </c>
      <c r="K14" t="s">
        <v>364</v>
      </c>
      <c r="L14" t="s">
        <v>365</v>
      </c>
      <c r="M14" t="s">
        <v>366</v>
      </c>
      <c r="N14" t="s">
        <v>366</v>
      </c>
      <c r="O14" t="s">
        <v>376</v>
      </c>
      <c r="P14" t="s">
        <v>377</v>
      </c>
      <c r="Q14" s="5">
        <v>1</v>
      </c>
      <c r="R14" s="6">
        <v>10</v>
      </c>
      <c r="S14" s="6">
        <v>10</v>
      </c>
      <c r="T14" s="6">
        <v>1.22</v>
      </c>
      <c r="U14" s="3">
        <v>46225.25</v>
      </c>
      <c r="W14" t="s">
        <v>369</v>
      </c>
      <c r="X14" t="s">
        <v>67</v>
      </c>
      <c r="Y14" t="s">
        <v>68</v>
      </c>
      <c r="Z14" t="s">
        <v>69</v>
      </c>
      <c r="AA14" t="s">
        <v>69</v>
      </c>
      <c r="AB14" t="s">
        <v>70</v>
      </c>
      <c r="AC14" t="s">
        <v>70</v>
      </c>
      <c r="AD14" t="s">
        <v>370</v>
      </c>
      <c r="AE14" t="s">
        <v>371</v>
      </c>
      <c r="AF14" t="s">
        <v>67</v>
      </c>
      <c r="AG14" t="s">
        <v>376</v>
      </c>
      <c r="AH14" t="b">
        <v>0</v>
      </c>
      <c r="AI14" t="b">
        <v>0</v>
      </c>
      <c r="AJ14" t="b">
        <v>0</v>
      </c>
      <c r="AK14" t="b">
        <v>0</v>
      </c>
      <c r="AL14" s="6">
        <v>1.22</v>
      </c>
      <c r="AM14" s="3">
        <v>46225.25</v>
      </c>
      <c r="AN14">
        <v>1</v>
      </c>
      <c r="AO14" s="3"/>
      <c r="AT14" t="b">
        <v>0</v>
      </c>
      <c r="AU14" t="s">
        <v>74</v>
      </c>
      <c r="AV14" t="b">
        <v>1</v>
      </c>
      <c r="AW14" t="b">
        <v>0</v>
      </c>
      <c r="AX14" s="5">
        <v>0</v>
      </c>
      <c r="AY14" s="3"/>
      <c r="AZ14" t="s">
        <v>67</v>
      </c>
      <c r="BA14" t="s">
        <v>67</v>
      </c>
      <c r="BB14" t="s">
        <v>317</v>
      </c>
    </row>
    <row r="15" spans="1:54" x14ac:dyDescent="0.3">
      <c r="A15">
        <v>1</v>
      </c>
      <c r="B15">
        <v>15</v>
      </c>
      <c r="C15" t="s">
        <v>54</v>
      </c>
      <c r="D15" s="3">
        <v>45344.427291666667</v>
      </c>
      <c r="E15" s="8">
        <v>45344</v>
      </c>
      <c r="F15" t="s">
        <v>360</v>
      </c>
      <c r="G15" t="s">
        <v>307</v>
      </c>
      <c r="H15" t="s">
        <v>361</v>
      </c>
      <c r="I15" t="s">
        <v>362</v>
      </c>
      <c r="J15" t="s">
        <v>363</v>
      </c>
      <c r="K15" t="s">
        <v>364</v>
      </c>
      <c r="L15" t="s">
        <v>365</v>
      </c>
      <c r="M15" t="s">
        <v>366</v>
      </c>
      <c r="N15" t="s">
        <v>366</v>
      </c>
      <c r="O15" t="s">
        <v>378</v>
      </c>
      <c r="P15" t="s">
        <v>379</v>
      </c>
      <c r="Q15" s="5">
        <v>1</v>
      </c>
      <c r="R15" s="6">
        <v>10</v>
      </c>
      <c r="S15" s="6">
        <v>10</v>
      </c>
      <c r="T15" s="6">
        <v>1.22</v>
      </c>
      <c r="U15" s="3">
        <v>46225.25</v>
      </c>
      <c r="W15" t="s">
        <v>369</v>
      </c>
      <c r="X15" t="s">
        <v>67</v>
      </c>
      <c r="Y15" t="s">
        <v>68</v>
      </c>
      <c r="Z15" t="s">
        <v>69</v>
      </c>
      <c r="AA15" t="s">
        <v>69</v>
      </c>
      <c r="AB15" t="s">
        <v>70</v>
      </c>
      <c r="AC15" t="s">
        <v>70</v>
      </c>
      <c r="AD15" t="s">
        <v>370</v>
      </c>
      <c r="AE15" t="s">
        <v>371</v>
      </c>
      <c r="AF15" t="s">
        <v>67</v>
      </c>
      <c r="AG15" t="s">
        <v>378</v>
      </c>
      <c r="AH15" t="b">
        <v>0</v>
      </c>
      <c r="AI15" t="b">
        <v>0</v>
      </c>
      <c r="AJ15" t="b">
        <v>0</v>
      </c>
      <c r="AK15" t="b">
        <v>0</v>
      </c>
      <c r="AL15" s="6">
        <v>1.22</v>
      </c>
      <c r="AM15" s="3">
        <v>46225.25</v>
      </c>
      <c r="AN15">
        <v>1</v>
      </c>
      <c r="AO15" s="3"/>
      <c r="AT15" t="b">
        <v>0</v>
      </c>
      <c r="AU15" t="s">
        <v>74</v>
      </c>
      <c r="AV15" t="b">
        <v>1</v>
      </c>
      <c r="AW15" t="b">
        <v>0</v>
      </c>
      <c r="AX15" s="5">
        <v>0</v>
      </c>
      <c r="AY15" s="3"/>
      <c r="AZ15" t="s">
        <v>67</v>
      </c>
      <c r="BA15" t="s">
        <v>67</v>
      </c>
      <c r="BB15" t="s">
        <v>317</v>
      </c>
    </row>
    <row r="16" spans="1:54" x14ac:dyDescent="0.3">
      <c r="A16">
        <v>1</v>
      </c>
      <c r="B16">
        <v>15</v>
      </c>
      <c r="C16" t="s">
        <v>54</v>
      </c>
      <c r="D16" s="3">
        <v>45353.394201388888</v>
      </c>
      <c r="E16" s="8">
        <v>45353</v>
      </c>
      <c r="F16" t="s">
        <v>380</v>
      </c>
      <c r="G16" t="s">
        <v>307</v>
      </c>
      <c r="H16" t="s">
        <v>381</v>
      </c>
      <c r="I16" t="s">
        <v>382</v>
      </c>
      <c r="J16" t="s">
        <v>310</v>
      </c>
      <c r="K16" t="s">
        <v>383</v>
      </c>
      <c r="L16" t="s">
        <v>384</v>
      </c>
      <c r="M16" t="s">
        <v>312</v>
      </c>
      <c r="N16" t="s">
        <v>312</v>
      </c>
      <c r="O16" t="s">
        <v>313</v>
      </c>
      <c r="P16" t="s">
        <v>314</v>
      </c>
      <c r="Q16" s="5">
        <v>1</v>
      </c>
      <c r="R16" s="6">
        <v>100</v>
      </c>
      <c r="S16" s="6">
        <v>100</v>
      </c>
      <c r="T16" s="6">
        <v>0</v>
      </c>
      <c r="U16" s="3">
        <v>45451.208333333343</v>
      </c>
      <c r="W16" t="s">
        <v>385</v>
      </c>
      <c r="X16" t="s">
        <v>70</v>
      </c>
      <c r="Y16" t="s">
        <v>23</v>
      </c>
      <c r="Z16" t="s">
        <v>69</v>
      </c>
      <c r="AA16" t="s">
        <v>69</v>
      </c>
      <c r="AB16" t="s">
        <v>70</v>
      </c>
      <c r="AC16" t="s">
        <v>70</v>
      </c>
      <c r="AD16" t="s">
        <v>316</v>
      </c>
      <c r="AE16" t="s">
        <v>102</v>
      </c>
      <c r="AF16" t="s">
        <v>67</v>
      </c>
      <c r="AH16" t="b">
        <v>1</v>
      </c>
      <c r="AI16" t="b">
        <v>1</v>
      </c>
      <c r="AJ16" t="b">
        <v>0</v>
      </c>
      <c r="AK16" t="b">
        <v>1</v>
      </c>
      <c r="AL16" s="6">
        <v>0</v>
      </c>
      <c r="AM16" s="3">
        <v>45451.208333333343</v>
      </c>
      <c r="AN16">
        <v>1</v>
      </c>
      <c r="AO16" s="3"/>
      <c r="AT16" t="b">
        <v>0</v>
      </c>
      <c r="AU16" t="s">
        <v>74</v>
      </c>
      <c r="AV16" t="b">
        <v>1</v>
      </c>
      <c r="AW16" t="b">
        <v>0</v>
      </c>
      <c r="AX16" s="5">
        <v>0</v>
      </c>
      <c r="AY16" s="3"/>
      <c r="AZ16" t="s">
        <v>67</v>
      </c>
      <c r="BA16" t="s">
        <v>67</v>
      </c>
      <c r="BB16" t="s">
        <v>317</v>
      </c>
    </row>
    <row r="17" spans="1:54" x14ac:dyDescent="0.3">
      <c r="A17">
        <v>1</v>
      </c>
      <c r="B17">
        <v>15</v>
      </c>
      <c r="C17" t="s">
        <v>54</v>
      </c>
      <c r="D17" s="3">
        <v>45353.399965277778</v>
      </c>
      <c r="E17" s="8">
        <v>45353</v>
      </c>
      <c r="F17" t="s">
        <v>386</v>
      </c>
      <c r="G17" t="s">
        <v>307</v>
      </c>
      <c r="H17" t="s">
        <v>387</v>
      </c>
      <c r="I17" t="s">
        <v>388</v>
      </c>
      <c r="J17" t="s">
        <v>310</v>
      </c>
      <c r="L17" t="s">
        <v>384</v>
      </c>
      <c r="M17" t="s">
        <v>312</v>
      </c>
      <c r="N17" t="s">
        <v>312</v>
      </c>
      <c r="O17" t="s">
        <v>313</v>
      </c>
      <c r="P17" t="s">
        <v>314</v>
      </c>
      <c r="Q17" s="5">
        <v>1</v>
      </c>
      <c r="R17" s="6">
        <v>100</v>
      </c>
      <c r="S17" s="6">
        <v>100</v>
      </c>
      <c r="T17" s="6">
        <v>0</v>
      </c>
      <c r="U17" s="3">
        <v>45727.208333333343</v>
      </c>
      <c r="W17" t="s">
        <v>389</v>
      </c>
      <c r="X17" t="s">
        <v>70</v>
      </c>
      <c r="Y17" t="s">
        <v>23</v>
      </c>
      <c r="Z17" t="s">
        <v>69</v>
      </c>
      <c r="AA17" t="s">
        <v>69</v>
      </c>
      <c r="AB17" t="s">
        <v>67</v>
      </c>
      <c r="AC17" t="s">
        <v>70</v>
      </c>
      <c r="AD17" t="s">
        <v>316</v>
      </c>
      <c r="AE17" t="s">
        <v>102</v>
      </c>
      <c r="AF17" t="s">
        <v>67</v>
      </c>
      <c r="AH17" t="b">
        <v>1</v>
      </c>
      <c r="AI17" t="b">
        <v>1</v>
      </c>
      <c r="AJ17" t="b">
        <v>0</v>
      </c>
      <c r="AK17" t="b">
        <v>1</v>
      </c>
      <c r="AL17" s="6">
        <v>0</v>
      </c>
      <c r="AM17" s="3">
        <v>45387.208333333343</v>
      </c>
      <c r="AN17">
        <v>1</v>
      </c>
      <c r="AO17" s="3"/>
      <c r="AT17" t="b">
        <v>0</v>
      </c>
      <c r="AU17" t="s">
        <v>74</v>
      </c>
      <c r="AV17" t="b">
        <v>1</v>
      </c>
      <c r="AW17" t="b">
        <v>0</v>
      </c>
      <c r="AX17" s="5">
        <v>0</v>
      </c>
      <c r="AY17" s="3"/>
      <c r="AZ17" t="s">
        <v>67</v>
      </c>
      <c r="BA17" t="s">
        <v>67</v>
      </c>
      <c r="BB17" t="s">
        <v>317</v>
      </c>
    </row>
    <row r="18" spans="1:54" x14ac:dyDescent="0.3">
      <c r="A18">
        <v>1</v>
      </c>
      <c r="B18">
        <v>15</v>
      </c>
      <c r="C18" t="s">
        <v>54</v>
      </c>
      <c r="D18" s="3">
        <v>45353.417175925933</v>
      </c>
      <c r="E18" s="8">
        <v>45353</v>
      </c>
      <c r="F18" t="s">
        <v>390</v>
      </c>
      <c r="G18" t="s">
        <v>307</v>
      </c>
      <c r="H18" t="s">
        <v>391</v>
      </c>
      <c r="I18" t="s">
        <v>392</v>
      </c>
      <c r="J18" t="s">
        <v>310</v>
      </c>
      <c r="K18" t="s">
        <v>393</v>
      </c>
      <c r="L18" t="s">
        <v>384</v>
      </c>
      <c r="M18" t="s">
        <v>312</v>
      </c>
      <c r="N18" t="s">
        <v>312</v>
      </c>
      <c r="O18" t="s">
        <v>313</v>
      </c>
      <c r="P18" t="s">
        <v>314</v>
      </c>
      <c r="Q18" s="5">
        <v>1</v>
      </c>
      <c r="R18" s="6">
        <v>100</v>
      </c>
      <c r="S18" s="6">
        <v>100</v>
      </c>
      <c r="T18" s="6">
        <v>0</v>
      </c>
      <c r="U18" s="3">
        <v>45422.3125</v>
      </c>
      <c r="W18" t="s">
        <v>394</v>
      </c>
      <c r="X18" t="s">
        <v>70</v>
      </c>
      <c r="Y18" t="s">
        <v>23</v>
      </c>
      <c r="Z18" t="s">
        <v>69</v>
      </c>
      <c r="AA18" t="s">
        <v>69</v>
      </c>
      <c r="AB18" t="s">
        <v>70</v>
      </c>
      <c r="AC18" t="s">
        <v>70</v>
      </c>
      <c r="AD18" t="s">
        <v>316</v>
      </c>
      <c r="AE18" t="s">
        <v>102</v>
      </c>
      <c r="AF18" t="s">
        <v>67</v>
      </c>
      <c r="AH18" t="b">
        <v>0</v>
      </c>
      <c r="AI18" t="b">
        <v>0</v>
      </c>
      <c r="AJ18" t="b">
        <v>0</v>
      </c>
      <c r="AK18" t="b">
        <v>0</v>
      </c>
      <c r="AL18" s="6">
        <v>0</v>
      </c>
      <c r="AM18" s="3">
        <v>45422.3125</v>
      </c>
      <c r="AN18">
        <v>1</v>
      </c>
      <c r="AO18" s="3"/>
      <c r="AT18" t="b">
        <v>0</v>
      </c>
      <c r="AU18" t="s">
        <v>74</v>
      </c>
      <c r="AV18" t="b">
        <v>1</v>
      </c>
      <c r="AW18" t="b">
        <v>0</v>
      </c>
      <c r="AX18" s="5">
        <v>0</v>
      </c>
      <c r="AY18" s="3"/>
      <c r="AZ18" t="s">
        <v>67</v>
      </c>
      <c r="BA18" t="s">
        <v>67</v>
      </c>
      <c r="BB18" t="s">
        <v>317</v>
      </c>
    </row>
    <row r="19" spans="1:54" x14ac:dyDescent="0.3">
      <c r="A19">
        <v>1</v>
      </c>
      <c r="B19">
        <v>15</v>
      </c>
      <c r="C19" t="s">
        <v>54</v>
      </c>
      <c r="D19" s="3">
        <v>45353.417847222219</v>
      </c>
      <c r="E19" s="8">
        <v>45353</v>
      </c>
      <c r="F19" t="s">
        <v>395</v>
      </c>
      <c r="G19" t="s">
        <v>307</v>
      </c>
      <c r="H19" t="s">
        <v>396</v>
      </c>
      <c r="I19" t="s">
        <v>397</v>
      </c>
      <c r="J19" t="s">
        <v>310</v>
      </c>
      <c r="K19" t="s">
        <v>321</v>
      </c>
      <c r="L19" t="s">
        <v>398</v>
      </c>
      <c r="M19" t="s">
        <v>312</v>
      </c>
      <c r="O19" t="s">
        <v>313</v>
      </c>
      <c r="P19" t="s">
        <v>314</v>
      </c>
      <c r="Q19" s="5">
        <v>1</v>
      </c>
      <c r="R19" s="6">
        <v>100</v>
      </c>
      <c r="S19" s="6">
        <v>100</v>
      </c>
      <c r="T19" s="6">
        <v>0</v>
      </c>
      <c r="U19" s="3">
        <v>45422.208333333343</v>
      </c>
      <c r="W19" t="s">
        <v>399</v>
      </c>
      <c r="X19" t="s">
        <v>70</v>
      </c>
      <c r="Y19" t="s">
        <v>23</v>
      </c>
      <c r="Z19" t="s">
        <v>69</v>
      </c>
      <c r="AA19" t="s">
        <v>69</v>
      </c>
      <c r="AB19" t="s">
        <v>70</v>
      </c>
      <c r="AC19" t="s">
        <v>70</v>
      </c>
      <c r="AD19" t="s">
        <v>316</v>
      </c>
      <c r="AE19" t="s">
        <v>102</v>
      </c>
      <c r="AF19" t="s">
        <v>67</v>
      </c>
      <c r="AH19" t="b">
        <v>1</v>
      </c>
      <c r="AI19" t="b">
        <v>0</v>
      </c>
      <c r="AJ19" t="b">
        <v>0</v>
      </c>
      <c r="AK19" t="b">
        <v>0</v>
      </c>
      <c r="AL19" s="6">
        <v>0</v>
      </c>
      <c r="AM19" s="3">
        <v>45422.208333333343</v>
      </c>
      <c r="AN19">
        <v>1</v>
      </c>
      <c r="AO19" s="3"/>
      <c r="AT19" t="b">
        <v>0</v>
      </c>
      <c r="AU19" t="s">
        <v>74</v>
      </c>
      <c r="AV19" t="b">
        <v>1</v>
      </c>
      <c r="AW19" t="b">
        <v>0</v>
      </c>
      <c r="AX19" s="5">
        <v>0</v>
      </c>
      <c r="AY19" s="3"/>
      <c r="AZ19" t="s">
        <v>67</v>
      </c>
      <c r="BA19" t="s">
        <v>67</v>
      </c>
      <c r="BB19" t="s">
        <v>317</v>
      </c>
    </row>
    <row r="20" spans="1:54" x14ac:dyDescent="0.3">
      <c r="A20">
        <v>1</v>
      </c>
      <c r="B20">
        <v>15</v>
      </c>
      <c r="C20" t="s">
        <v>54</v>
      </c>
      <c r="D20" s="3">
        <v>45353.433067129627</v>
      </c>
      <c r="E20" s="8">
        <v>45353</v>
      </c>
      <c r="F20" t="s">
        <v>400</v>
      </c>
      <c r="G20" t="s">
        <v>307</v>
      </c>
      <c r="H20" t="s">
        <v>401</v>
      </c>
      <c r="I20" t="s">
        <v>402</v>
      </c>
      <c r="J20" t="s">
        <v>310</v>
      </c>
      <c r="K20" t="s">
        <v>403</v>
      </c>
      <c r="L20" t="s">
        <v>384</v>
      </c>
      <c r="M20" t="s">
        <v>312</v>
      </c>
      <c r="N20" t="s">
        <v>312</v>
      </c>
      <c r="O20" t="s">
        <v>313</v>
      </c>
      <c r="P20" t="s">
        <v>314</v>
      </c>
      <c r="Q20" s="5">
        <v>1</v>
      </c>
      <c r="R20" s="6">
        <v>100</v>
      </c>
      <c r="S20" s="6">
        <v>100</v>
      </c>
      <c r="T20" s="6">
        <v>0</v>
      </c>
      <c r="U20" s="3">
        <v>45387.208333333343</v>
      </c>
      <c r="W20" t="s">
        <v>404</v>
      </c>
      <c r="X20" t="s">
        <v>70</v>
      </c>
      <c r="Y20" t="s">
        <v>23</v>
      </c>
      <c r="Z20" t="s">
        <v>69</v>
      </c>
      <c r="AA20" t="s">
        <v>69</v>
      </c>
      <c r="AB20" t="s">
        <v>70</v>
      </c>
      <c r="AC20" t="s">
        <v>70</v>
      </c>
      <c r="AD20" t="s">
        <v>316</v>
      </c>
      <c r="AE20" t="s">
        <v>102</v>
      </c>
      <c r="AF20" t="s">
        <v>67</v>
      </c>
      <c r="AH20" t="b">
        <v>1</v>
      </c>
      <c r="AI20" t="b">
        <v>1</v>
      </c>
      <c r="AJ20" t="b">
        <v>0</v>
      </c>
      <c r="AK20" t="b">
        <v>1</v>
      </c>
      <c r="AL20" s="6">
        <v>0</v>
      </c>
      <c r="AM20" s="3">
        <v>45387.208333333343</v>
      </c>
      <c r="AN20">
        <v>1</v>
      </c>
      <c r="AO20" s="3"/>
      <c r="AT20" t="b">
        <v>0</v>
      </c>
      <c r="AU20" t="s">
        <v>74</v>
      </c>
      <c r="AV20" t="b">
        <v>1</v>
      </c>
      <c r="AW20" t="b">
        <v>0</v>
      </c>
      <c r="AX20" s="5">
        <v>0</v>
      </c>
      <c r="AY20" s="3"/>
      <c r="AZ20" t="s">
        <v>67</v>
      </c>
      <c r="BA20" t="s">
        <v>67</v>
      </c>
      <c r="BB20" t="s">
        <v>317</v>
      </c>
    </row>
    <row r="21" spans="1:54" x14ac:dyDescent="0.3">
      <c r="A21">
        <v>1</v>
      </c>
      <c r="B21">
        <v>15</v>
      </c>
      <c r="C21" t="s">
        <v>54</v>
      </c>
      <c r="D21" s="3">
        <v>45353.513043981482</v>
      </c>
      <c r="E21" s="8">
        <v>45422</v>
      </c>
      <c r="F21" t="s">
        <v>405</v>
      </c>
      <c r="G21" t="s">
        <v>307</v>
      </c>
      <c r="H21" t="s">
        <v>406</v>
      </c>
      <c r="I21" t="s">
        <v>407</v>
      </c>
      <c r="J21" t="s">
        <v>310</v>
      </c>
      <c r="K21" t="s">
        <v>403</v>
      </c>
      <c r="L21" t="s">
        <v>384</v>
      </c>
      <c r="M21" t="s">
        <v>312</v>
      </c>
      <c r="N21" t="s">
        <v>312</v>
      </c>
      <c r="O21" t="s">
        <v>313</v>
      </c>
      <c r="P21" t="s">
        <v>314</v>
      </c>
      <c r="Q21" s="5">
        <v>1</v>
      </c>
      <c r="R21" s="6">
        <v>100</v>
      </c>
      <c r="S21" s="6">
        <v>100</v>
      </c>
      <c r="T21" s="6">
        <v>0</v>
      </c>
      <c r="U21" s="3">
        <v>45506.222222222219</v>
      </c>
      <c r="W21" t="s">
        <v>408</v>
      </c>
      <c r="X21" t="s">
        <v>70</v>
      </c>
      <c r="Y21" t="s">
        <v>23</v>
      </c>
      <c r="Z21" t="s">
        <v>69</v>
      </c>
      <c r="AA21" t="s">
        <v>69</v>
      </c>
      <c r="AB21" t="s">
        <v>70</v>
      </c>
      <c r="AC21" t="s">
        <v>70</v>
      </c>
      <c r="AD21" t="s">
        <v>316</v>
      </c>
      <c r="AE21" t="s">
        <v>102</v>
      </c>
      <c r="AF21" t="s">
        <v>67</v>
      </c>
      <c r="AH21" t="b">
        <v>1</v>
      </c>
      <c r="AI21" t="b">
        <v>1</v>
      </c>
      <c r="AJ21" t="b">
        <v>0</v>
      </c>
      <c r="AK21" t="b">
        <v>1</v>
      </c>
      <c r="AL21" s="6">
        <v>0</v>
      </c>
      <c r="AM21" s="3">
        <v>45506.222222222219</v>
      </c>
      <c r="AN21">
        <v>1</v>
      </c>
      <c r="AO21" s="3"/>
      <c r="AT21" t="b">
        <v>0</v>
      </c>
      <c r="AU21" t="s">
        <v>74</v>
      </c>
      <c r="AV21" t="b">
        <v>1</v>
      </c>
      <c r="AW21" t="b">
        <v>0</v>
      </c>
      <c r="AX21" s="5">
        <v>0</v>
      </c>
      <c r="AY21" s="3"/>
      <c r="AZ21" t="s">
        <v>67</v>
      </c>
      <c r="BA21" t="s">
        <v>67</v>
      </c>
      <c r="BB21" t="s">
        <v>317</v>
      </c>
    </row>
    <row r="22" spans="1:54" x14ac:dyDescent="0.3">
      <c r="A22">
        <v>1</v>
      </c>
      <c r="B22">
        <v>15</v>
      </c>
      <c r="C22" t="s">
        <v>54</v>
      </c>
      <c r="D22" s="3">
        <v>45391.430601851847</v>
      </c>
      <c r="E22" s="8">
        <v>45393</v>
      </c>
      <c r="F22" t="s">
        <v>409</v>
      </c>
      <c r="G22" t="s">
        <v>307</v>
      </c>
      <c r="H22" t="s">
        <v>410</v>
      </c>
      <c r="I22" t="s">
        <v>411</v>
      </c>
      <c r="J22" t="s">
        <v>59</v>
      </c>
      <c r="K22" t="s">
        <v>412</v>
      </c>
      <c r="L22" t="s">
        <v>217</v>
      </c>
      <c r="M22" t="s">
        <v>63</v>
      </c>
      <c r="N22" t="s">
        <v>63</v>
      </c>
      <c r="O22" t="s">
        <v>82</v>
      </c>
      <c r="P22" t="s">
        <v>83</v>
      </c>
      <c r="Q22" s="5">
        <v>1</v>
      </c>
      <c r="R22" s="6">
        <v>130</v>
      </c>
      <c r="S22" s="6">
        <v>130</v>
      </c>
      <c r="T22" s="6">
        <v>92.59</v>
      </c>
      <c r="U22" s="3">
        <v>45786.333333333343</v>
      </c>
      <c r="W22" t="s">
        <v>413</v>
      </c>
      <c r="X22" t="s">
        <v>67</v>
      </c>
      <c r="Y22" t="s">
        <v>68</v>
      </c>
      <c r="Z22" t="s">
        <v>69</v>
      </c>
      <c r="AA22" t="s">
        <v>69</v>
      </c>
      <c r="AB22" t="s">
        <v>67</v>
      </c>
      <c r="AC22" t="s">
        <v>70</v>
      </c>
      <c r="AD22" t="s">
        <v>71</v>
      </c>
      <c r="AE22" t="s">
        <v>84</v>
      </c>
      <c r="AF22" t="s">
        <v>67</v>
      </c>
      <c r="AG22" t="s">
        <v>82</v>
      </c>
      <c r="AH22" t="b">
        <v>0</v>
      </c>
      <c r="AI22" t="b">
        <v>1</v>
      </c>
      <c r="AJ22" t="b">
        <v>0</v>
      </c>
      <c r="AK22" t="b">
        <v>1</v>
      </c>
      <c r="AL22" s="6">
        <v>92.59</v>
      </c>
      <c r="AM22" s="3">
        <v>45762.520833333343</v>
      </c>
      <c r="AN22">
        <v>1</v>
      </c>
      <c r="AO22" s="3"/>
      <c r="AT22" t="b">
        <v>0</v>
      </c>
      <c r="AU22" t="s">
        <v>74</v>
      </c>
      <c r="AV22" t="b">
        <v>1</v>
      </c>
      <c r="AW22" t="b">
        <v>0</v>
      </c>
      <c r="AX22" s="5">
        <v>0</v>
      </c>
      <c r="AY22" s="3"/>
      <c r="AZ22" t="s">
        <v>67</v>
      </c>
      <c r="BA22" t="s">
        <v>67</v>
      </c>
      <c r="BB22" t="s">
        <v>317</v>
      </c>
    </row>
    <row r="23" spans="1:54" x14ac:dyDescent="0.3">
      <c r="A23">
        <v>1</v>
      </c>
      <c r="B23">
        <v>15</v>
      </c>
      <c r="C23" t="s">
        <v>54</v>
      </c>
      <c r="D23" s="3">
        <v>45422.470729166656</v>
      </c>
      <c r="E23" s="8">
        <v>45422</v>
      </c>
      <c r="F23" t="s">
        <v>414</v>
      </c>
      <c r="G23" t="s">
        <v>307</v>
      </c>
      <c r="H23" t="s">
        <v>415</v>
      </c>
      <c r="I23" t="s">
        <v>416</v>
      </c>
      <c r="J23" t="s">
        <v>310</v>
      </c>
      <c r="K23" t="s">
        <v>353</v>
      </c>
      <c r="L23" t="s">
        <v>384</v>
      </c>
      <c r="M23" t="s">
        <v>312</v>
      </c>
      <c r="N23" t="s">
        <v>312</v>
      </c>
      <c r="O23" t="s">
        <v>313</v>
      </c>
      <c r="P23" t="s">
        <v>314</v>
      </c>
      <c r="Q23" s="5">
        <v>1</v>
      </c>
      <c r="R23" s="6">
        <v>100</v>
      </c>
      <c r="S23" s="6">
        <v>100</v>
      </c>
      <c r="T23" s="6">
        <v>0</v>
      </c>
      <c r="U23" s="3">
        <v>45506.458333333343</v>
      </c>
      <c r="W23" t="s">
        <v>417</v>
      </c>
      <c r="X23" t="s">
        <v>70</v>
      </c>
      <c r="Y23" t="s">
        <v>23</v>
      </c>
      <c r="Z23" t="s">
        <v>69</v>
      </c>
      <c r="AA23" t="s">
        <v>69</v>
      </c>
      <c r="AB23" t="s">
        <v>67</v>
      </c>
      <c r="AC23" t="s">
        <v>70</v>
      </c>
      <c r="AD23" t="s">
        <v>316</v>
      </c>
      <c r="AE23" t="s">
        <v>102</v>
      </c>
      <c r="AF23" t="s">
        <v>67</v>
      </c>
      <c r="AH23" t="b">
        <v>1</v>
      </c>
      <c r="AI23" t="b">
        <v>1</v>
      </c>
      <c r="AJ23" t="b">
        <v>0</v>
      </c>
      <c r="AK23" t="b">
        <v>1</v>
      </c>
      <c r="AL23" s="6">
        <v>0</v>
      </c>
      <c r="AM23" s="3">
        <v>45506.458333333343</v>
      </c>
      <c r="AN23">
        <v>1</v>
      </c>
      <c r="AO23" s="3"/>
      <c r="AT23" t="b">
        <v>0</v>
      </c>
      <c r="AU23" t="s">
        <v>74</v>
      </c>
      <c r="AV23" t="b">
        <v>1</v>
      </c>
      <c r="AW23" t="b">
        <v>0</v>
      </c>
      <c r="AX23" s="5">
        <v>0</v>
      </c>
      <c r="AY23" s="3"/>
      <c r="AZ23" t="s">
        <v>67</v>
      </c>
      <c r="BA23" t="s">
        <v>67</v>
      </c>
      <c r="BB23" t="s">
        <v>317</v>
      </c>
    </row>
    <row r="24" spans="1:54" x14ac:dyDescent="0.3">
      <c r="A24">
        <v>1</v>
      </c>
      <c r="B24">
        <v>15</v>
      </c>
      <c r="C24" t="s">
        <v>54</v>
      </c>
      <c r="D24" s="3">
        <v>45422.48332175926</v>
      </c>
      <c r="E24" s="8">
        <v>45422</v>
      </c>
      <c r="F24" t="s">
        <v>418</v>
      </c>
      <c r="G24" t="s">
        <v>307</v>
      </c>
      <c r="H24" t="s">
        <v>419</v>
      </c>
      <c r="I24" t="s">
        <v>420</v>
      </c>
      <c r="J24" t="s">
        <v>310</v>
      </c>
      <c r="L24" t="s">
        <v>398</v>
      </c>
      <c r="M24" t="s">
        <v>312</v>
      </c>
      <c r="O24" t="s">
        <v>313</v>
      </c>
      <c r="P24" t="s">
        <v>314</v>
      </c>
      <c r="Q24" s="5">
        <v>1</v>
      </c>
      <c r="R24" s="6">
        <v>100</v>
      </c>
      <c r="S24" s="6">
        <v>100</v>
      </c>
      <c r="T24" s="6">
        <v>0</v>
      </c>
      <c r="U24" s="3">
        <v>46087.521527777782</v>
      </c>
      <c r="W24" t="s">
        <v>421</v>
      </c>
      <c r="X24" t="s">
        <v>70</v>
      </c>
      <c r="Y24" t="s">
        <v>23</v>
      </c>
      <c r="Z24" t="s">
        <v>69</v>
      </c>
      <c r="AA24" t="s">
        <v>69</v>
      </c>
      <c r="AB24" t="s">
        <v>67</v>
      </c>
      <c r="AC24" t="s">
        <v>70</v>
      </c>
      <c r="AD24" t="s">
        <v>316</v>
      </c>
      <c r="AE24" t="s">
        <v>102</v>
      </c>
      <c r="AF24" t="s">
        <v>67</v>
      </c>
      <c r="AH24" t="b">
        <v>1</v>
      </c>
      <c r="AI24" t="b">
        <v>0</v>
      </c>
      <c r="AJ24" t="b">
        <v>0</v>
      </c>
      <c r="AK24" t="b">
        <v>1</v>
      </c>
      <c r="AL24" s="6">
        <v>0</v>
      </c>
      <c r="AM24" s="3">
        <v>45506.208333333343</v>
      </c>
      <c r="AN24">
        <v>1</v>
      </c>
      <c r="AO24" s="3"/>
      <c r="AT24" t="b">
        <v>0</v>
      </c>
      <c r="AU24" t="s">
        <v>74</v>
      </c>
      <c r="AV24" t="b">
        <v>1</v>
      </c>
      <c r="AW24" t="b">
        <v>0</v>
      </c>
      <c r="AX24" s="5">
        <v>0</v>
      </c>
      <c r="AY24" s="3"/>
      <c r="AZ24" t="s">
        <v>67</v>
      </c>
      <c r="BA24" t="s">
        <v>67</v>
      </c>
      <c r="BB24" t="s">
        <v>317</v>
      </c>
    </row>
    <row r="25" spans="1:54" x14ac:dyDescent="0.3">
      <c r="A25">
        <v>1</v>
      </c>
      <c r="B25">
        <v>15</v>
      </c>
      <c r="C25" t="s">
        <v>54</v>
      </c>
      <c r="D25" s="3">
        <v>45422.506307870368</v>
      </c>
      <c r="E25" s="8">
        <v>45422</v>
      </c>
      <c r="F25" t="s">
        <v>422</v>
      </c>
      <c r="G25" t="s">
        <v>307</v>
      </c>
      <c r="H25" t="s">
        <v>423</v>
      </c>
      <c r="I25" t="s">
        <v>424</v>
      </c>
      <c r="J25" t="s">
        <v>310</v>
      </c>
      <c r="K25" t="s">
        <v>425</v>
      </c>
      <c r="L25" t="s">
        <v>398</v>
      </c>
      <c r="M25" t="s">
        <v>312</v>
      </c>
      <c r="O25" t="s">
        <v>313</v>
      </c>
      <c r="P25" t="s">
        <v>314</v>
      </c>
      <c r="Q25" s="5">
        <v>2</v>
      </c>
      <c r="R25" s="6">
        <v>100</v>
      </c>
      <c r="S25" s="6">
        <v>200</v>
      </c>
      <c r="T25" s="6">
        <v>0</v>
      </c>
      <c r="U25" s="3">
        <v>45507.208333333343</v>
      </c>
      <c r="W25" t="s">
        <v>426</v>
      </c>
      <c r="X25" t="s">
        <v>70</v>
      </c>
      <c r="Y25" t="s">
        <v>23</v>
      </c>
      <c r="Z25" t="s">
        <v>69</v>
      </c>
      <c r="AA25" t="s">
        <v>69</v>
      </c>
      <c r="AB25" t="s">
        <v>67</v>
      </c>
      <c r="AC25" t="s">
        <v>70</v>
      </c>
      <c r="AD25" t="s">
        <v>316</v>
      </c>
      <c r="AE25" t="s">
        <v>102</v>
      </c>
      <c r="AF25" t="s">
        <v>67</v>
      </c>
      <c r="AH25" t="b">
        <v>0</v>
      </c>
      <c r="AI25" t="b">
        <v>0</v>
      </c>
      <c r="AJ25" t="b">
        <v>0</v>
      </c>
      <c r="AK25" t="b">
        <v>0</v>
      </c>
      <c r="AL25" s="6">
        <v>0</v>
      </c>
      <c r="AM25" s="3">
        <v>45507.208333333343</v>
      </c>
      <c r="AN25">
        <v>1</v>
      </c>
      <c r="AO25" s="3"/>
      <c r="AT25" t="b">
        <v>0</v>
      </c>
      <c r="AU25" t="s">
        <v>74</v>
      </c>
      <c r="AV25" t="b">
        <v>1</v>
      </c>
      <c r="AW25" t="b">
        <v>0</v>
      </c>
      <c r="AX25" s="5">
        <v>0</v>
      </c>
      <c r="AY25" s="3"/>
      <c r="AZ25" t="s">
        <v>67</v>
      </c>
      <c r="BA25" t="s">
        <v>67</v>
      </c>
      <c r="BB25" t="s">
        <v>317</v>
      </c>
    </row>
    <row r="26" spans="1:54" x14ac:dyDescent="0.3">
      <c r="A26">
        <v>1</v>
      </c>
      <c r="B26">
        <v>15</v>
      </c>
      <c r="C26" t="s">
        <v>54</v>
      </c>
      <c r="D26" s="3">
        <v>45422.725717592592</v>
      </c>
      <c r="E26" s="8">
        <v>45422</v>
      </c>
      <c r="F26" t="s">
        <v>427</v>
      </c>
      <c r="G26" t="s">
        <v>307</v>
      </c>
      <c r="H26" t="s">
        <v>428</v>
      </c>
      <c r="I26" t="s">
        <v>429</v>
      </c>
      <c r="J26" t="s">
        <v>310</v>
      </c>
      <c r="L26" t="s">
        <v>398</v>
      </c>
      <c r="M26" t="s">
        <v>312</v>
      </c>
      <c r="O26" t="s">
        <v>313</v>
      </c>
      <c r="P26" t="s">
        <v>314</v>
      </c>
      <c r="Q26" s="5">
        <v>1</v>
      </c>
      <c r="R26" s="6">
        <v>100</v>
      </c>
      <c r="S26" s="6">
        <v>100</v>
      </c>
      <c r="T26" s="6">
        <v>0</v>
      </c>
      <c r="U26" s="3">
        <v>46316.25</v>
      </c>
      <c r="W26" t="s">
        <v>430</v>
      </c>
      <c r="X26" t="s">
        <v>70</v>
      </c>
      <c r="Y26" t="s">
        <v>23</v>
      </c>
      <c r="Z26" t="s">
        <v>69</v>
      </c>
      <c r="AA26" t="s">
        <v>69</v>
      </c>
      <c r="AB26" t="s">
        <v>67</v>
      </c>
      <c r="AC26" t="s">
        <v>70</v>
      </c>
      <c r="AD26" t="s">
        <v>316</v>
      </c>
      <c r="AE26" t="s">
        <v>102</v>
      </c>
      <c r="AF26" t="s">
        <v>67</v>
      </c>
      <c r="AH26" t="b">
        <v>1</v>
      </c>
      <c r="AI26" t="b">
        <v>1</v>
      </c>
      <c r="AJ26" t="b">
        <v>0</v>
      </c>
      <c r="AK26" t="b">
        <v>1</v>
      </c>
      <c r="AL26" s="6">
        <v>0</v>
      </c>
      <c r="AM26" s="3">
        <v>45715.25</v>
      </c>
      <c r="AN26">
        <v>1</v>
      </c>
      <c r="AO26" s="3"/>
      <c r="AT26" t="b">
        <v>0</v>
      </c>
      <c r="AU26" t="s">
        <v>74</v>
      </c>
      <c r="AV26" t="b">
        <v>1</v>
      </c>
      <c r="AW26" t="b">
        <v>0</v>
      </c>
      <c r="AX26" s="5">
        <v>0</v>
      </c>
      <c r="AY26" s="3"/>
      <c r="AZ26" t="s">
        <v>67</v>
      </c>
      <c r="BA26" t="s">
        <v>67</v>
      </c>
      <c r="BB26" t="s">
        <v>317</v>
      </c>
    </row>
    <row r="27" spans="1:54" x14ac:dyDescent="0.3">
      <c r="A27">
        <v>1</v>
      </c>
      <c r="B27">
        <v>15</v>
      </c>
      <c r="C27" t="s">
        <v>54</v>
      </c>
      <c r="D27" s="3">
        <v>45426.432881944442</v>
      </c>
      <c r="E27" s="8">
        <v>45426</v>
      </c>
      <c r="F27" t="s">
        <v>431</v>
      </c>
      <c r="G27" t="s">
        <v>307</v>
      </c>
      <c r="H27" t="s">
        <v>432</v>
      </c>
      <c r="I27" t="s">
        <v>433</v>
      </c>
      <c r="J27" t="s">
        <v>59</v>
      </c>
      <c r="L27" t="s">
        <v>217</v>
      </c>
      <c r="M27" t="s">
        <v>63</v>
      </c>
      <c r="O27" t="s">
        <v>225</v>
      </c>
      <c r="P27" t="s">
        <v>226</v>
      </c>
      <c r="Q27" s="5">
        <v>1</v>
      </c>
      <c r="R27" s="6">
        <v>37</v>
      </c>
      <c r="S27" s="6">
        <v>37</v>
      </c>
      <c r="T27" s="6">
        <v>25.76</v>
      </c>
      <c r="U27" s="3">
        <v>46074.229166666657</v>
      </c>
      <c r="W27" t="s">
        <v>434</v>
      </c>
      <c r="X27" t="s">
        <v>67</v>
      </c>
      <c r="Y27" t="s">
        <v>68</v>
      </c>
      <c r="Z27" t="s">
        <v>69</v>
      </c>
      <c r="AA27" t="s">
        <v>69</v>
      </c>
      <c r="AB27" t="s">
        <v>70</v>
      </c>
      <c r="AC27" t="s">
        <v>70</v>
      </c>
      <c r="AD27" t="s">
        <v>71</v>
      </c>
      <c r="AE27" t="s">
        <v>220</v>
      </c>
      <c r="AF27" t="s">
        <v>67</v>
      </c>
      <c r="AG27" t="s">
        <v>227</v>
      </c>
      <c r="AH27" t="b">
        <v>0</v>
      </c>
      <c r="AI27" t="b">
        <v>0</v>
      </c>
      <c r="AJ27" t="b">
        <v>0</v>
      </c>
      <c r="AK27" t="b">
        <v>0</v>
      </c>
      <c r="AL27" s="6">
        <v>25.76</v>
      </c>
      <c r="AM27" s="3">
        <v>45909.510416666657</v>
      </c>
      <c r="AN27">
        <v>1</v>
      </c>
      <c r="AO27" s="3"/>
      <c r="AT27" t="b">
        <v>0</v>
      </c>
      <c r="AU27" t="s">
        <v>74</v>
      </c>
      <c r="AV27" t="b">
        <v>1</v>
      </c>
      <c r="AW27" t="b">
        <v>0</v>
      </c>
      <c r="AX27" s="5">
        <v>0</v>
      </c>
      <c r="AY27" s="3"/>
      <c r="AZ27" t="s">
        <v>67</v>
      </c>
      <c r="BA27" t="s">
        <v>67</v>
      </c>
      <c r="BB27" t="s">
        <v>317</v>
      </c>
    </row>
    <row r="28" spans="1:54" x14ac:dyDescent="0.3">
      <c r="A28">
        <v>1</v>
      </c>
      <c r="B28">
        <v>15</v>
      </c>
      <c r="C28" t="s">
        <v>54</v>
      </c>
      <c r="D28" s="3">
        <v>45450.319444444453</v>
      </c>
      <c r="E28" s="8">
        <v>45450</v>
      </c>
      <c r="F28" t="s">
        <v>435</v>
      </c>
      <c r="G28" t="s">
        <v>307</v>
      </c>
      <c r="H28" t="s">
        <v>436</v>
      </c>
      <c r="I28" t="s">
        <v>437</v>
      </c>
      <c r="J28" t="s">
        <v>310</v>
      </c>
      <c r="K28" t="s">
        <v>438</v>
      </c>
      <c r="L28" t="s">
        <v>384</v>
      </c>
      <c r="M28" t="s">
        <v>312</v>
      </c>
      <c r="N28" t="s">
        <v>312</v>
      </c>
      <c r="O28" t="s">
        <v>313</v>
      </c>
      <c r="P28" t="s">
        <v>314</v>
      </c>
      <c r="Q28" s="5">
        <v>1</v>
      </c>
      <c r="R28" s="6">
        <v>100</v>
      </c>
      <c r="S28" s="6">
        <v>100</v>
      </c>
      <c r="T28" s="6">
        <v>0</v>
      </c>
      <c r="U28" s="3">
        <v>45632.256944444453</v>
      </c>
      <c r="W28" t="s">
        <v>439</v>
      </c>
      <c r="X28" t="s">
        <v>70</v>
      </c>
      <c r="Y28" t="s">
        <v>23</v>
      </c>
      <c r="Z28" t="s">
        <v>69</v>
      </c>
      <c r="AA28" t="s">
        <v>69</v>
      </c>
      <c r="AB28" t="s">
        <v>70</v>
      </c>
      <c r="AC28" t="s">
        <v>70</v>
      </c>
      <c r="AD28" t="s">
        <v>316</v>
      </c>
      <c r="AE28" t="s">
        <v>102</v>
      </c>
      <c r="AF28" t="s">
        <v>67</v>
      </c>
      <c r="AH28" t="b">
        <v>1</v>
      </c>
      <c r="AI28" t="b">
        <v>1</v>
      </c>
      <c r="AJ28" t="b">
        <v>0</v>
      </c>
      <c r="AK28" t="b">
        <v>1</v>
      </c>
      <c r="AL28" s="6">
        <v>0</v>
      </c>
      <c r="AM28" s="3">
        <v>45632.256944444453</v>
      </c>
      <c r="AN28">
        <v>1</v>
      </c>
      <c r="AO28" s="3"/>
      <c r="AT28" t="b">
        <v>0</v>
      </c>
      <c r="AU28" t="s">
        <v>74</v>
      </c>
      <c r="AV28" t="b">
        <v>1</v>
      </c>
      <c r="AW28" t="b">
        <v>0</v>
      </c>
      <c r="AX28" s="5">
        <v>0</v>
      </c>
      <c r="AY28" s="3"/>
      <c r="AZ28" t="s">
        <v>67</v>
      </c>
      <c r="BA28" t="s">
        <v>67</v>
      </c>
      <c r="BB28" t="s">
        <v>317</v>
      </c>
    </row>
    <row r="29" spans="1:54" x14ac:dyDescent="0.3">
      <c r="A29">
        <v>1</v>
      </c>
      <c r="B29">
        <v>15</v>
      </c>
      <c r="C29" t="s">
        <v>54</v>
      </c>
      <c r="D29" s="3">
        <v>45450.340671296297</v>
      </c>
      <c r="E29" s="8">
        <v>45450</v>
      </c>
      <c r="F29" t="s">
        <v>440</v>
      </c>
      <c r="G29" t="s">
        <v>307</v>
      </c>
      <c r="H29" t="s">
        <v>441</v>
      </c>
      <c r="I29" t="s">
        <v>442</v>
      </c>
      <c r="J29" t="s">
        <v>310</v>
      </c>
      <c r="K29" t="s">
        <v>425</v>
      </c>
      <c r="L29" t="s">
        <v>398</v>
      </c>
      <c r="M29" t="s">
        <v>312</v>
      </c>
      <c r="O29" t="s">
        <v>313</v>
      </c>
      <c r="P29" t="s">
        <v>314</v>
      </c>
      <c r="Q29" s="5">
        <v>2</v>
      </c>
      <c r="R29" s="6">
        <v>100</v>
      </c>
      <c r="S29" s="6">
        <v>200</v>
      </c>
      <c r="T29" s="6">
        <v>0</v>
      </c>
      <c r="U29" s="3">
        <v>45696.25</v>
      </c>
      <c r="W29" t="s">
        <v>443</v>
      </c>
      <c r="X29" t="s">
        <v>70</v>
      </c>
      <c r="Y29" t="s">
        <v>23</v>
      </c>
      <c r="Z29" t="s">
        <v>69</v>
      </c>
      <c r="AA29" t="s">
        <v>69</v>
      </c>
      <c r="AB29" t="s">
        <v>67</v>
      </c>
      <c r="AC29" t="s">
        <v>67</v>
      </c>
      <c r="AD29" t="s">
        <v>316</v>
      </c>
      <c r="AE29" t="s">
        <v>102</v>
      </c>
      <c r="AF29" t="s">
        <v>67</v>
      </c>
      <c r="AH29" t="b">
        <v>1</v>
      </c>
      <c r="AI29" t="b">
        <v>1</v>
      </c>
      <c r="AJ29" t="b">
        <v>0</v>
      </c>
      <c r="AK29" t="b">
        <v>1</v>
      </c>
      <c r="AL29" s="6">
        <v>0</v>
      </c>
      <c r="AM29" s="3">
        <v>45696.25</v>
      </c>
      <c r="AN29">
        <v>1</v>
      </c>
      <c r="AO29" s="3"/>
      <c r="AT29" t="b">
        <v>0</v>
      </c>
      <c r="AU29" t="s">
        <v>74</v>
      </c>
      <c r="AV29" t="b">
        <v>1</v>
      </c>
      <c r="AW29" t="b">
        <v>0</v>
      </c>
      <c r="AX29" s="5">
        <v>0</v>
      </c>
      <c r="AY29" s="3"/>
      <c r="AZ29" t="s">
        <v>67</v>
      </c>
      <c r="BA29" t="s">
        <v>67</v>
      </c>
      <c r="BB29" t="s">
        <v>317</v>
      </c>
    </row>
    <row r="30" spans="1:54" x14ac:dyDescent="0.3">
      <c r="A30">
        <v>1</v>
      </c>
      <c r="B30">
        <v>15</v>
      </c>
      <c r="C30" t="s">
        <v>54</v>
      </c>
      <c r="D30" s="3">
        <v>45450.617604166669</v>
      </c>
      <c r="E30" s="8">
        <v>45450</v>
      </c>
      <c r="F30" t="s">
        <v>444</v>
      </c>
      <c r="G30" t="s">
        <v>307</v>
      </c>
      <c r="H30" t="s">
        <v>445</v>
      </c>
      <c r="I30" t="s">
        <v>446</v>
      </c>
      <c r="J30" t="s">
        <v>310</v>
      </c>
      <c r="K30" t="s">
        <v>447</v>
      </c>
      <c r="L30" t="s">
        <v>398</v>
      </c>
      <c r="M30" t="s">
        <v>312</v>
      </c>
      <c r="O30" t="s">
        <v>313</v>
      </c>
      <c r="P30" t="s">
        <v>314</v>
      </c>
      <c r="Q30" s="5">
        <v>1</v>
      </c>
      <c r="R30" s="6">
        <v>100</v>
      </c>
      <c r="S30" s="6">
        <v>100</v>
      </c>
      <c r="T30" s="6">
        <v>0</v>
      </c>
      <c r="U30" s="3">
        <v>45506.229166666657</v>
      </c>
      <c r="W30" t="s">
        <v>448</v>
      </c>
      <c r="X30" t="s">
        <v>70</v>
      </c>
      <c r="Y30" t="s">
        <v>23</v>
      </c>
      <c r="Z30" t="s">
        <v>69</v>
      </c>
      <c r="AA30" t="s">
        <v>69</v>
      </c>
      <c r="AB30" t="s">
        <v>70</v>
      </c>
      <c r="AC30" t="s">
        <v>70</v>
      </c>
      <c r="AD30" t="s">
        <v>316</v>
      </c>
      <c r="AE30" t="s">
        <v>102</v>
      </c>
      <c r="AF30" t="s">
        <v>67</v>
      </c>
      <c r="AH30" t="b">
        <v>0</v>
      </c>
      <c r="AI30" t="b">
        <v>1</v>
      </c>
      <c r="AJ30" t="b">
        <v>0</v>
      </c>
      <c r="AK30" t="b">
        <v>1</v>
      </c>
      <c r="AL30" s="6">
        <v>0</v>
      </c>
      <c r="AM30" s="3">
        <v>45506.229166666657</v>
      </c>
      <c r="AN30">
        <v>1</v>
      </c>
      <c r="AO30" s="3"/>
      <c r="AT30" t="b">
        <v>0</v>
      </c>
      <c r="AU30" t="s">
        <v>74</v>
      </c>
      <c r="AV30" t="b">
        <v>1</v>
      </c>
      <c r="AW30" t="b">
        <v>0</v>
      </c>
      <c r="AX30" s="5">
        <v>0</v>
      </c>
      <c r="AY30" s="3"/>
      <c r="AZ30" t="s">
        <v>67</v>
      </c>
      <c r="BA30" t="s">
        <v>67</v>
      </c>
      <c r="BB30" t="s">
        <v>317</v>
      </c>
    </row>
    <row r="31" spans="1:54" x14ac:dyDescent="0.3">
      <c r="A31">
        <v>1</v>
      </c>
      <c r="B31">
        <v>15</v>
      </c>
      <c r="C31" t="s">
        <v>54</v>
      </c>
      <c r="D31" s="3">
        <v>45450.702916666669</v>
      </c>
      <c r="E31" s="8">
        <v>45450</v>
      </c>
      <c r="F31" t="s">
        <v>449</v>
      </c>
      <c r="G31" t="s">
        <v>307</v>
      </c>
      <c r="H31" t="s">
        <v>450</v>
      </c>
      <c r="I31" t="s">
        <v>451</v>
      </c>
      <c r="J31" t="s">
        <v>310</v>
      </c>
      <c r="L31" t="s">
        <v>384</v>
      </c>
      <c r="M31" t="s">
        <v>312</v>
      </c>
      <c r="N31" t="s">
        <v>312</v>
      </c>
      <c r="O31" t="s">
        <v>313</v>
      </c>
      <c r="P31" t="s">
        <v>314</v>
      </c>
      <c r="Q31" s="5">
        <v>1</v>
      </c>
      <c r="R31" s="6">
        <v>100</v>
      </c>
      <c r="S31" s="6">
        <v>100</v>
      </c>
      <c r="T31" s="6">
        <v>0</v>
      </c>
      <c r="U31" s="3">
        <v>46218.53125</v>
      </c>
      <c r="W31" t="s">
        <v>452</v>
      </c>
      <c r="X31" t="s">
        <v>70</v>
      </c>
      <c r="Y31" t="s">
        <v>23</v>
      </c>
      <c r="Z31" t="s">
        <v>69</v>
      </c>
      <c r="AA31" t="s">
        <v>69</v>
      </c>
      <c r="AB31" t="s">
        <v>70</v>
      </c>
      <c r="AC31" t="s">
        <v>70</v>
      </c>
      <c r="AD31" t="s">
        <v>316</v>
      </c>
      <c r="AE31" t="s">
        <v>102</v>
      </c>
      <c r="AF31" t="s">
        <v>67</v>
      </c>
      <c r="AH31" t="b">
        <v>1</v>
      </c>
      <c r="AI31" t="b">
        <v>1</v>
      </c>
      <c r="AJ31" t="b">
        <v>0</v>
      </c>
      <c r="AK31" t="b">
        <v>1</v>
      </c>
      <c r="AL31" s="6">
        <v>0</v>
      </c>
      <c r="AM31" s="3">
        <v>45667.458333333343</v>
      </c>
      <c r="AN31">
        <v>1</v>
      </c>
      <c r="AO31" s="3"/>
      <c r="AT31" t="b">
        <v>0</v>
      </c>
      <c r="AU31" t="s">
        <v>74</v>
      </c>
      <c r="AV31" t="b">
        <v>1</v>
      </c>
      <c r="AW31" t="b">
        <v>0</v>
      </c>
      <c r="AX31" s="5">
        <v>0</v>
      </c>
      <c r="AY31" s="3"/>
      <c r="AZ31" t="s">
        <v>67</v>
      </c>
      <c r="BA31" t="s">
        <v>67</v>
      </c>
      <c r="BB31" t="s">
        <v>317</v>
      </c>
    </row>
    <row r="32" spans="1:54" x14ac:dyDescent="0.3">
      <c r="A32">
        <v>1</v>
      </c>
      <c r="B32">
        <v>15</v>
      </c>
      <c r="C32" t="s">
        <v>54</v>
      </c>
      <c r="D32" s="3">
        <v>45451.350902777784</v>
      </c>
      <c r="E32" s="8">
        <v>45451</v>
      </c>
      <c r="F32" t="s">
        <v>453</v>
      </c>
      <c r="G32" t="s">
        <v>307</v>
      </c>
      <c r="H32" t="s">
        <v>454</v>
      </c>
      <c r="I32" t="s">
        <v>455</v>
      </c>
      <c r="J32" t="s">
        <v>310</v>
      </c>
      <c r="K32" t="s">
        <v>456</v>
      </c>
      <c r="L32" t="s">
        <v>384</v>
      </c>
      <c r="M32" t="s">
        <v>312</v>
      </c>
      <c r="N32" t="s">
        <v>312</v>
      </c>
      <c r="O32" t="s">
        <v>313</v>
      </c>
      <c r="P32" t="s">
        <v>314</v>
      </c>
      <c r="Q32" s="5">
        <v>1</v>
      </c>
      <c r="R32" s="6">
        <v>100</v>
      </c>
      <c r="S32" s="6">
        <v>100</v>
      </c>
      <c r="T32" s="6">
        <v>0</v>
      </c>
      <c r="U32" s="3">
        <v>45454.472222222219</v>
      </c>
      <c r="W32" t="s">
        <v>457</v>
      </c>
      <c r="X32" t="s">
        <v>70</v>
      </c>
      <c r="Y32" t="s">
        <v>23</v>
      </c>
      <c r="Z32" t="s">
        <v>69</v>
      </c>
      <c r="AA32" t="s">
        <v>69</v>
      </c>
      <c r="AB32" t="s">
        <v>70</v>
      </c>
      <c r="AC32" t="s">
        <v>70</v>
      </c>
      <c r="AD32" t="s">
        <v>316</v>
      </c>
      <c r="AE32" t="s">
        <v>102</v>
      </c>
      <c r="AF32" t="s">
        <v>67</v>
      </c>
      <c r="AH32" t="b">
        <v>1</v>
      </c>
      <c r="AI32" t="b">
        <v>0</v>
      </c>
      <c r="AJ32" t="b">
        <v>0</v>
      </c>
      <c r="AK32" t="b">
        <v>0</v>
      </c>
      <c r="AL32" s="6">
        <v>0</v>
      </c>
      <c r="AM32" s="3">
        <v>45451.229166666657</v>
      </c>
      <c r="AN32">
        <v>1</v>
      </c>
      <c r="AO32" s="3"/>
      <c r="AT32" t="b">
        <v>0</v>
      </c>
      <c r="AU32" t="s">
        <v>74</v>
      </c>
      <c r="AV32" t="b">
        <v>1</v>
      </c>
      <c r="AW32" t="b">
        <v>0</v>
      </c>
      <c r="AX32" s="5">
        <v>0</v>
      </c>
      <c r="AY32" s="3"/>
      <c r="AZ32" t="s">
        <v>67</v>
      </c>
      <c r="BA32" t="s">
        <v>67</v>
      </c>
      <c r="BB32" t="s">
        <v>317</v>
      </c>
    </row>
    <row r="33" spans="1:54" x14ac:dyDescent="0.3">
      <c r="A33">
        <v>1</v>
      </c>
      <c r="B33">
        <v>15</v>
      </c>
      <c r="C33" t="s">
        <v>54</v>
      </c>
      <c r="D33" s="3">
        <v>45451.381157407413</v>
      </c>
      <c r="E33" s="8">
        <v>45451</v>
      </c>
      <c r="F33" t="s">
        <v>458</v>
      </c>
      <c r="G33" t="s">
        <v>307</v>
      </c>
      <c r="H33" t="s">
        <v>459</v>
      </c>
      <c r="I33" t="s">
        <v>460</v>
      </c>
      <c r="J33" t="s">
        <v>310</v>
      </c>
      <c r="L33" t="s">
        <v>384</v>
      </c>
      <c r="M33" t="s">
        <v>312</v>
      </c>
      <c r="N33" t="s">
        <v>312</v>
      </c>
      <c r="O33" t="s">
        <v>313</v>
      </c>
      <c r="P33" t="s">
        <v>314</v>
      </c>
      <c r="Q33" s="5">
        <v>1</v>
      </c>
      <c r="R33" s="6">
        <v>100</v>
      </c>
      <c r="S33" s="6">
        <v>100</v>
      </c>
      <c r="T33" s="6">
        <v>0</v>
      </c>
      <c r="U33" s="3">
        <v>45713.458333333343</v>
      </c>
      <c r="W33" t="s">
        <v>461</v>
      </c>
      <c r="X33" t="s">
        <v>70</v>
      </c>
      <c r="Y33" t="s">
        <v>23</v>
      </c>
      <c r="Z33" t="s">
        <v>69</v>
      </c>
      <c r="AA33" t="s">
        <v>69</v>
      </c>
      <c r="AB33" t="s">
        <v>67</v>
      </c>
      <c r="AC33" t="s">
        <v>70</v>
      </c>
      <c r="AD33" t="s">
        <v>316</v>
      </c>
      <c r="AE33" t="s">
        <v>102</v>
      </c>
      <c r="AF33" t="s">
        <v>67</v>
      </c>
      <c r="AH33" t="b">
        <v>1</v>
      </c>
      <c r="AI33" t="b">
        <v>1</v>
      </c>
      <c r="AJ33" t="b">
        <v>0</v>
      </c>
      <c r="AK33" t="b">
        <v>1</v>
      </c>
      <c r="AL33" s="6">
        <v>0</v>
      </c>
      <c r="AM33" s="3">
        <v>45666.222222222219</v>
      </c>
      <c r="AN33">
        <v>1</v>
      </c>
      <c r="AO33" s="3"/>
      <c r="AT33" t="b">
        <v>0</v>
      </c>
      <c r="AU33" t="s">
        <v>74</v>
      </c>
      <c r="AV33" t="b">
        <v>1</v>
      </c>
      <c r="AW33" t="b">
        <v>0</v>
      </c>
      <c r="AX33" s="5">
        <v>0</v>
      </c>
      <c r="AY33" s="3"/>
      <c r="AZ33" t="s">
        <v>67</v>
      </c>
      <c r="BA33" t="s">
        <v>67</v>
      </c>
      <c r="BB33" t="s">
        <v>317</v>
      </c>
    </row>
    <row r="34" spans="1:54" x14ac:dyDescent="0.3">
      <c r="A34">
        <v>1</v>
      </c>
      <c r="B34">
        <v>15</v>
      </c>
      <c r="C34" t="s">
        <v>54</v>
      </c>
      <c r="D34" s="3">
        <v>45451.381435185183</v>
      </c>
      <c r="E34" s="8">
        <v>45478</v>
      </c>
      <c r="F34" t="s">
        <v>462</v>
      </c>
      <c r="G34" t="s">
        <v>307</v>
      </c>
      <c r="H34" t="s">
        <v>459</v>
      </c>
      <c r="I34" t="s">
        <v>460</v>
      </c>
      <c r="J34" t="s">
        <v>310</v>
      </c>
      <c r="L34" t="s">
        <v>384</v>
      </c>
      <c r="M34" t="s">
        <v>312</v>
      </c>
      <c r="N34" t="s">
        <v>312</v>
      </c>
      <c r="O34" t="s">
        <v>313</v>
      </c>
      <c r="P34" t="s">
        <v>314</v>
      </c>
      <c r="Q34" s="5">
        <v>1</v>
      </c>
      <c r="R34" s="6">
        <v>100</v>
      </c>
      <c r="S34" s="6">
        <v>100</v>
      </c>
      <c r="T34" s="6">
        <v>0</v>
      </c>
      <c r="U34" s="3">
        <v>45713.458333333343</v>
      </c>
      <c r="W34" t="s">
        <v>461</v>
      </c>
      <c r="X34" t="s">
        <v>70</v>
      </c>
      <c r="Y34" t="s">
        <v>23</v>
      </c>
      <c r="Z34" t="s">
        <v>69</v>
      </c>
      <c r="AA34" t="s">
        <v>69</v>
      </c>
      <c r="AB34" t="s">
        <v>67</v>
      </c>
      <c r="AC34" t="s">
        <v>70</v>
      </c>
      <c r="AD34" t="s">
        <v>316</v>
      </c>
      <c r="AE34" t="s">
        <v>102</v>
      </c>
      <c r="AF34" t="s">
        <v>67</v>
      </c>
      <c r="AH34" t="b">
        <v>1</v>
      </c>
      <c r="AI34" t="b">
        <v>1</v>
      </c>
      <c r="AJ34" t="b">
        <v>0</v>
      </c>
      <c r="AK34" t="b">
        <v>1</v>
      </c>
      <c r="AL34" s="6">
        <v>0</v>
      </c>
      <c r="AM34" s="3">
        <v>45666.222222222219</v>
      </c>
      <c r="AN34">
        <v>1</v>
      </c>
      <c r="AO34" s="3"/>
      <c r="AT34" t="b">
        <v>0</v>
      </c>
      <c r="AU34" t="s">
        <v>74</v>
      </c>
      <c r="AV34" t="b">
        <v>1</v>
      </c>
      <c r="AW34" t="b">
        <v>0</v>
      </c>
      <c r="AX34" s="5">
        <v>0</v>
      </c>
      <c r="AY34" s="3"/>
      <c r="AZ34" t="s">
        <v>67</v>
      </c>
      <c r="BA34" t="s">
        <v>67</v>
      </c>
      <c r="BB34" t="s">
        <v>317</v>
      </c>
    </row>
    <row r="35" spans="1:54" x14ac:dyDescent="0.3">
      <c r="A35">
        <v>1</v>
      </c>
      <c r="B35">
        <v>15</v>
      </c>
      <c r="C35" t="s">
        <v>54</v>
      </c>
      <c r="D35" s="3">
        <v>45451.744293981479</v>
      </c>
      <c r="E35" s="8">
        <v>45478</v>
      </c>
      <c r="F35" t="s">
        <v>463</v>
      </c>
      <c r="G35" t="s">
        <v>307</v>
      </c>
      <c r="H35" t="s">
        <v>464</v>
      </c>
      <c r="I35" t="s">
        <v>465</v>
      </c>
      <c r="J35" t="s">
        <v>310</v>
      </c>
      <c r="K35" t="s">
        <v>466</v>
      </c>
      <c r="L35" t="s">
        <v>384</v>
      </c>
      <c r="M35" t="s">
        <v>312</v>
      </c>
      <c r="N35" t="s">
        <v>312</v>
      </c>
      <c r="O35" t="s">
        <v>313</v>
      </c>
      <c r="P35" t="s">
        <v>314</v>
      </c>
      <c r="Q35" s="5">
        <v>1</v>
      </c>
      <c r="R35" s="6">
        <v>100</v>
      </c>
      <c r="S35" s="6">
        <v>100</v>
      </c>
      <c r="T35" s="6">
        <v>0</v>
      </c>
      <c r="U35" s="3">
        <v>45807.458333333343</v>
      </c>
      <c r="W35" t="s">
        <v>467</v>
      </c>
      <c r="X35" t="s">
        <v>70</v>
      </c>
      <c r="Y35" t="s">
        <v>23</v>
      </c>
      <c r="Z35" t="s">
        <v>69</v>
      </c>
      <c r="AA35" t="s">
        <v>69</v>
      </c>
      <c r="AB35" t="s">
        <v>70</v>
      </c>
      <c r="AC35" t="s">
        <v>70</v>
      </c>
      <c r="AD35" t="s">
        <v>316</v>
      </c>
      <c r="AE35" t="s">
        <v>102</v>
      </c>
      <c r="AF35" t="s">
        <v>67</v>
      </c>
      <c r="AH35" t="b">
        <v>1</v>
      </c>
      <c r="AI35" t="b">
        <v>1</v>
      </c>
      <c r="AJ35" t="b">
        <v>0</v>
      </c>
      <c r="AK35" t="b">
        <v>1</v>
      </c>
      <c r="AL35" s="6">
        <v>0</v>
      </c>
      <c r="AM35" s="3">
        <v>45632.208333333343</v>
      </c>
      <c r="AN35">
        <v>1</v>
      </c>
      <c r="AO35" s="3"/>
      <c r="AT35" t="b">
        <v>0</v>
      </c>
      <c r="AU35" t="s">
        <v>74</v>
      </c>
      <c r="AV35" t="b">
        <v>1</v>
      </c>
      <c r="AW35" t="b">
        <v>0</v>
      </c>
      <c r="AX35" s="5">
        <v>0</v>
      </c>
      <c r="AY35" s="3"/>
      <c r="AZ35" t="s">
        <v>67</v>
      </c>
      <c r="BA35" t="s">
        <v>67</v>
      </c>
      <c r="BB35" t="s">
        <v>317</v>
      </c>
    </row>
    <row r="36" spans="1:54" x14ac:dyDescent="0.3">
      <c r="A36">
        <v>1</v>
      </c>
      <c r="B36">
        <v>15</v>
      </c>
      <c r="C36" t="s">
        <v>54</v>
      </c>
      <c r="D36" s="3">
        <v>45454.59679398148</v>
      </c>
      <c r="E36" s="8">
        <v>45454</v>
      </c>
      <c r="F36" t="s">
        <v>468</v>
      </c>
      <c r="G36" t="s">
        <v>307</v>
      </c>
      <c r="H36" t="s">
        <v>469</v>
      </c>
      <c r="I36" t="s">
        <v>470</v>
      </c>
      <c r="J36" t="s">
        <v>59</v>
      </c>
      <c r="L36" t="s">
        <v>217</v>
      </c>
      <c r="M36" t="s">
        <v>63</v>
      </c>
      <c r="O36" t="s">
        <v>228</v>
      </c>
      <c r="P36" t="s">
        <v>229</v>
      </c>
      <c r="Q36" s="5">
        <v>1</v>
      </c>
      <c r="R36" s="6">
        <v>125</v>
      </c>
      <c r="S36" s="6">
        <v>125</v>
      </c>
      <c r="T36" s="6">
        <v>90.55</v>
      </c>
      <c r="U36" s="3">
        <v>45762.458333333343</v>
      </c>
      <c r="W36" t="s">
        <v>471</v>
      </c>
      <c r="X36" t="s">
        <v>67</v>
      </c>
      <c r="Y36" t="s">
        <v>68</v>
      </c>
      <c r="Z36" t="s">
        <v>69</v>
      </c>
      <c r="AA36" t="s">
        <v>69</v>
      </c>
      <c r="AB36" t="s">
        <v>70</v>
      </c>
      <c r="AC36" t="s">
        <v>70</v>
      </c>
      <c r="AD36" t="s">
        <v>71</v>
      </c>
      <c r="AE36" t="s">
        <v>84</v>
      </c>
      <c r="AF36" t="s">
        <v>67</v>
      </c>
      <c r="AG36" t="s">
        <v>228</v>
      </c>
      <c r="AH36" t="b">
        <v>0</v>
      </c>
      <c r="AI36" t="b">
        <v>0</v>
      </c>
      <c r="AJ36" t="b">
        <v>0</v>
      </c>
      <c r="AK36" t="b">
        <v>1</v>
      </c>
      <c r="AL36" s="6">
        <v>90.55</v>
      </c>
      <c r="AM36" s="3">
        <v>45426.25</v>
      </c>
      <c r="AN36">
        <v>1</v>
      </c>
      <c r="AO36" s="3"/>
      <c r="AT36" t="b">
        <v>0</v>
      </c>
      <c r="AU36" t="s">
        <v>74</v>
      </c>
      <c r="AV36" t="b">
        <v>1</v>
      </c>
      <c r="AW36" t="b">
        <v>0</v>
      </c>
      <c r="AX36" s="5">
        <v>0</v>
      </c>
      <c r="AY36" s="3"/>
      <c r="AZ36" t="s">
        <v>67</v>
      </c>
      <c r="BA36" t="s">
        <v>67</v>
      </c>
      <c r="BB36" t="s">
        <v>317</v>
      </c>
    </row>
    <row r="37" spans="1:54" x14ac:dyDescent="0.3">
      <c r="A37">
        <v>1</v>
      </c>
      <c r="B37">
        <v>15</v>
      </c>
      <c r="C37" t="s">
        <v>54</v>
      </c>
      <c r="D37" s="3">
        <v>45478.392870370371</v>
      </c>
      <c r="E37" s="8">
        <v>45478</v>
      </c>
      <c r="F37" t="s">
        <v>472</v>
      </c>
      <c r="G37" t="s">
        <v>307</v>
      </c>
      <c r="H37" t="s">
        <v>473</v>
      </c>
      <c r="I37" t="s">
        <v>474</v>
      </c>
      <c r="J37" t="s">
        <v>310</v>
      </c>
      <c r="K37" t="s">
        <v>475</v>
      </c>
      <c r="L37" t="s">
        <v>384</v>
      </c>
      <c r="M37" t="s">
        <v>312</v>
      </c>
      <c r="N37" t="s">
        <v>312</v>
      </c>
      <c r="O37" t="s">
        <v>313</v>
      </c>
      <c r="P37" t="s">
        <v>314</v>
      </c>
      <c r="Q37" s="5">
        <v>1</v>
      </c>
      <c r="R37" s="6">
        <v>100</v>
      </c>
      <c r="S37" s="6">
        <v>100</v>
      </c>
      <c r="T37" s="6">
        <v>0</v>
      </c>
      <c r="U37" s="3">
        <v>45750.25</v>
      </c>
      <c r="W37" t="s">
        <v>476</v>
      </c>
      <c r="X37" t="s">
        <v>70</v>
      </c>
      <c r="Y37" t="s">
        <v>23</v>
      </c>
      <c r="Z37" t="s">
        <v>69</v>
      </c>
      <c r="AA37" t="s">
        <v>69</v>
      </c>
      <c r="AB37" t="s">
        <v>67</v>
      </c>
      <c r="AC37" t="s">
        <v>70</v>
      </c>
      <c r="AD37" t="s">
        <v>316</v>
      </c>
      <c r="AE37" t="s">
        <v>102</v>
      </c>
      <c r="AF37" t="s">
        <v>67</v>
      </c>
      <c r="AH37" t="b">
        <v>1</v>
      </c>
      <c r="AI37" t="b">
        <v>1</v>
      </c>
      <c r="AJ37" t="b">
        <v>0</v>
      </c>
      <c r="AK37" t="b">
        <v>1</v>
      </c>
      <c r="AL37" s="6">
        <v>0</v>
      </c>
      <c r="AM37" s="3">
        <v>45750.25</v>
      </c>
      <c r="AN37">
        <v>1</v>
      </c>
      <c r="AO37" s="3"/>
      <c r="AT37" t="b">
        <v>0</v>
      </c>
      <c r="AU37" t="s">
        <v>74</v>
      </c>
      <c r="AV37" t="b">
        <v>1</v>
      </c>
      <c r="AW37" t="b">
        <v>0</v>
      </c>
      <c r="AX37" s="5">
        <v>0</v>
      </c>
      <c r="AY37" s="3"/>
      <c r="AZ37" t="s">
        <v>67</v>
      </c>
      <c r="BA37" t="s">
        <v>67</v>
      </c>
      <c r="BB37" t="s">
        <v>317</v>
      </c>
    </row>
    <row r="38" spans="1:54" x14ac:dyDescent="0.3">
      <c r="A38">
        <v>1</v>
      </c>
      <c r="B38">
        <v>15</v>
      </c>
      <c r="C38" t="s">
        <v>54</v>
      </c>
      <c r="D38" s="3">
        <v>45482.647604166668</v>
      </c>
      <c r="E38" s="8">
        <v>45482</v>
      </c>
      <c r="F38" t="s">
        <v>477</v>
      </c>
      <c r="G38" t="s">
        <v>307</v>
      </c>
      <c r="H38" t="s">
        <v>478</v>
      </c>
      <c r="I38" t="s">
        <v>479</v>
      </c>
      <c r="J38" t="s">
        <v>59</v>
      </c>
      <c r="K38" t="s">
        <v>480</v>
      </c>
      <c r="L38" t="s">
        <v>217</v>
      </c>
      <c r="M38" t="s">
        <v>63</v>
      </c>
      <c r="N38" t="s">
        <v>63</v>
      </c>
      <c r="O38" t="s">
        <v>228</v>
      </c>
      <c r="P38" t="s">
        <v>229</v>
      </c>
      <c r="Q38" s="5">
        <v>1</v>
      </c>
      <c r="R38" s="6">
        <v>135</v>
      </c>
      <c r="S38" s="6">
        <v>135</v>
      </c>
      <c r="T38" s="6">
        <v>90</v>
      </c>
      <c r="U38" s="3">
        <v>45582.25</v>
      </c>
      <c r="W38" t="s">
        <v>481</v>
      </c>
      <c r="X38" t="s">
        <v>67</v>
      </c>
      <c r="Y38" t="s">
        <v>68</v>
      </c>
      <c r="Z38" t="s">
        <v>69</v>
      </c>
      <c r="AA38" t="s">
        <v>69</v>
      </c>
      <c r="AB38" t="s">
        <v>70</v>
      </c>
      <c r="AC38" t="s">
        <v>70</v>
      </c>
      <c r="AD38" t="s">
        <v>71</v>
      </c>
      <c r="AE38" t="s">
        <v>84</v>
      </c>
      <c r="AF38" t="s">
        <v>67</v>
      </c>
      <c r="AG38" t="s">
        <v>228</v>
      </c>
      <c r="AH38" t="b">
        <v>0</v>
      </c>
      <c r="AI38" t="b">
        <v>0</v>
      </c>
      <c r="AJ38" t="b">
        <v>0</v>
      </c>
      <c r="AK38" t="b">
        <v>0</v>
      </c>
      <c r="AL38" s="6">
        <v>90</v>
      </c>
      <c r="AM38" s="3">
        <v>45582.25</v>
      </c>
      <c r="AN38">
        <v>1</v>
      </c>
      <c r="AO38" s="3"/>
      <c r="AT38" t="b">
        <v>0</v>
      </c>
      <c r="AU38" t="s">
        <v>74</v>
      </c>
      <c r="AV38" t="b">
        <v>1</v>
      </c>
      <c r="AW38" t="b">
        <v>0</v>
      </c>
      <c r="AX38" s="5">
        <v>0</v>
      </c>
      <c r="AY38" s="3"/>
      <c r="AZ38" t="s">
        <v>67</v>
      </c>
      <c r="BA38" t="s">
        <v>67</v>
      </c>
      <c r="BB38" t="s">
        <v>317</v>
      </c>
    </row>
    <row r="39" spans="1:54" x14ac:dyDescent="0.3">
      <c r="A39">
        <v>1</v>
      </c>
      <c r="B39">
        <v>15</v>
      </c>
      <c r="C39" t="s">
        <v>54</v>
      </c>
      <c r="D39" s="3">
        <v>45482.647604166668</v>
      </c>
      <c r="E39" s="8">
        <v>45482</v>
      </c>
      <c r="F39" t="s">
        <v>477</v>
      </c>
      <c r="G39" t="s">
        <v>307</v>
      </c>
      <c r="H39" t="s">
        <v>478</v>
      </c>
      <c r="I39" t="s">
        <v>479</v>
      </c>
      <c r="J39" t="s">
        <v>59</v>
      </c>
      <c r="K39" t="s">
        <v>480</v>
      </c>
      <c r="L39" t="s">
        <v>217</v>
      </c>
      <c r="M39" t="s">
        <v>63</v>
      </c>
      <c r="N39" t="s">
        <v>63</v>
      </c>
      <c r="O39" t="s">
        <v>482</v>
      </c>
      <c r="P39" t="s">
        <v>483</v>
      </c>
      <c r="Q39" s="5">
        <v>2</v>
      </c>
      <c r="R39" s="6">
        <v>37</v>
      </c>
      <c r="S39" s="6">
        <v>74</v>
      </c>
      <c r="T39" s="6">
        <v>51.52</v>
      </c>
      <c r="U39" s="3">
        <v>45582.25</v>
      </c>
      <c r="W39" t="s">
        <v>481</v>
      </c>
      <c r="X39" t="s">
        <v>67</v>
      </c>
      <c r="Y39" t="s">
        <v>68</v>
      </c>
      <c r="Z39" t="s">
        <v>69</v>
      </c>
      <c r="AA39" t="s">
        <v>69</v>
      </c>
      <c r="AB39" t="s">
        <v>70</v>
      </c>
      <c r="AC39" t="s">
        <v>70</v>
      </c>
      <c r="AD39" t="s">
        <v>71</v>
      </c>
      <c r="AE39" t="s">
        <v>220</v>
      </c>
      <c r="AF39" t="s">
        <v>67</v>
      </c>
      <c r="AG39" t="s">
        <v>484</v>
      </c>
      <c r="AH39" t="b">
        <v>0</v>
      </c>
      <c r="AI39" t="b">
        <v>0</v>
      </c>
      <c r="AJ39" t="b">
        <v>0</v>
      </c>
      <c r="AK39" t="b">
        <v>0</v>
      </c>
      <c r="AL39" s="6">
        <v>25.76</v>
      </c>
      <c r="AM39" s="3">
        <v>45582.25</v>
      </c>
      <c r="AN39">
        <v>1</v>
      </c>
      <c r="AO39" s="3"/>
      <c r="AT39" t="b">
        <v>0</v>
      </c>
      <c r="AU39" t="s">
        <v>74</v>
      </c>
      <c r="AV39" t="b">
        <v>1</v>
      </c>
      <c r="AW39" t="b">
        <v>0</v>
      </c>
      <c r="AX39" s="5">
        <v>0</v>
      </c>
      <c r="AY39" s="3"/>
      <c r="AZ39" t="s">
        <v>67</v>
      </c>
      <c r="BA39" t="s">
        <v>67</v>
      </c>
      <c r="BB39" t="s">
        <v>317</v>
      </c>
    </row>
    <row r="40" spans="1:54" x14ac:dyDescent="0.3">
      <c r="A40">
        <v>1</v>
      </c>
      <c r="B40">
        <v>15</v>
      </c>
      <c r="C40" t="s">
        <v>54</v>
      </c>
      <c r="D40" s="3">
        <v>45507.34233796296</v>
      </c>
      <c r="E40" s="8">
        <v>45507</v>
      </c>
      <c r="F40" t="s">
        <v>485</v>
      </c>
      <c r="G40" t="s">
        <v>307</v>
      </c>
      <c r="H40" t="s">
        <v>486</v>
      </c>
      <c r="I40" t="s">
        <v>487</v>
      </c>
      <c r="J40" t="s">
        <v>310</v>
      </c>
      <c r="K40" t="s">
        <v>488</v>
      </c>
      <c r="L40" t="s">
        <v>398</v>
      </c>
      <c r="M40" t="s">
        <v>312</v>
      </c>
      <c r="O40" t="s">
        <v>313</v>
      </c>
      <c r="P40" t="s">
        <v>314</v>
      </c>
      <c r="Q40" s="5">
        <v>1</v>
      </c>
      <c r="R40" s="6">
        <v>100</v>
      </c>
      <c r="S40" s="6">
        <v>100</v>
      </c>
      <c r="T40" s="6">
        <v>0</v>
      </c>
      <c r="U40" s="3">
        <v>45712.465277777781</v>
      </c>
      <c r="W40" t="s">
        <v>489</v>
      </c>
      <c r="X40" t="s">
        <v>70</v>
      </c>
      <c r="Y40" t="s">
        <v>23</v>
      </c>
      <c r="Z40" t="s">
        <v>69</v>
      </c>
      <c r="AA40" t="s">
        <v>69</v>
      </c>
      <c r="AB40" t="s">
        <v>67</v>
      </c>
      <c r="AC40" t="s">
        <v>70</v>
      </c>
      <c r="AD40" t="s">
        <v>316</v>
      </c>
      <c r="AE40" t="s">
        <v>102</v>
      </c>
      <c r="AF40" t="s">
        <v>67</v>
      </c>
      <c r="AH40" t="b">
        <v>1</v>
      </c>
      <c r="AI40" t="b">
        <v>1</v>
      </c>
      <c r="AJ40" t="b">
        <v>0</v>
      </c>
      <c r="AK40" t="b">
        <v>1</v>
      </c>
      <c r="AL40" s="6">
        <v>0</v>
      </c>
      <c r="AM40" s="3">
        <v>45535.208333333343</v>
      </c>
      <c r="AN40">
        <v>1</v>
      </c>
      <c r="AO40" s="3"/>
      <c r="AT40" t="b">
        <v>0</v>
      </c>
      <c r="AU40" t="s">
        <v>74</v>
      </c>
      <c r="AV40" t="b">
        <v>1</v>
      </c>
      <c r="AW40" t="b">
        <v>0</v>
      </c>
      <c r="AX40" s="5">
        <v>0</v>
      </c>
      <c r="AY40" s="3"/>
      <c r="AZ40" t="s">
        <v>67</v>
      </c>
      <c r="BA40" t="s">
        <v>67</v>
      </c>
      <c r="BB40" t="s">
        <v>317</v>
      </c>
    </row>
    <row r="41" spans="1:54" x14ac:dyDescent="0.3">
      <c r="A41">
        <v>1</v>
      </c>
      <c r="B41">
        <v>15</v>
      </c>
      <c r="C41" t="s">
        <v>54</v>
      </c>
      <c r="D41" s="3">
        <v>45517.387037037042</v>
      </c>
      <c r="E41" s="8">
        <v>45517</v>
      </c>
      <c r="F41" t="s">
        <v>490</v>
      </c>
      <c r="G41" t="s">
        <v>307</v>
      </c>
      <c r="H41" t="s">
        <v>491</v>
      </c>
      <c r="I41" t="s">
        <v>492</v>
      </c>
      <c r="J41" t="s">
        <v>59</v>
      </c>
      <c r="K41" t="s">
        <v>493</v>
      </c>
      <c r="L41" t="s">
        <v>217</v>
      </c>
      <c r="M41" t="s">
        <v>63</v>
      </c>
      <c r="N41" t="s">
        <v>63</v>
      </c>
      <c r="O41" t="s">
        <v>228</v>
      </c>
      <c r="P41" t="s">
        <v>229</v>
      </c>
      <c r="Q41" s="5">
        <v>1</v>
      </c>
      <c r="R41" s="6">
        <v>135</v>
      </c>
      <c r="S41" s="6">
        <v>135</v>
      </c>
      <c r="T41" s="6">
        <v>90</v>
      </c>
      <c r="U41" s="3">
        <v>45580.458333333343</v>
      </c>
      <c r="W41" t="s">
        <v>494</v>
      </c>
      <c r="X41" t="s">
        <v>67</v>
      </c>
      <c r="Y41" t="s">
        <v>68</v>
      </c>
      <c r="Z41" t="s">
        <v>69</v>
      </c>
      <c r="AA41" t="s">
        <v>69</v>
      </c>
      <c r="AB41" t="s">
        <v>70</v>
      </c>
      <c r="AC41" t="s">
        <v>70</v>
      </c>
      <c r="AD41" t="s">
        <v>71</v>
      </c>
      <c r="AE41" t="s">
        <v>84</v>
      </c>
      <c r="AF41" t="s">
        <v>67</v>
      </c>
      <c r="AG41" t="s">
        <v>228</v>
      </c>
      <c r="AH41" t="b">
        <v>0</v>
      </c>
      <c r="AI41" t="b">
        <v>0</v>
      </c>
      <c r="AJ41" t="b">
        <v>0</v>
      </c>
      <c r="AK41" t="b">
        <v>0</v>
      </c>
      <c r="AL41" s="6">
        <v>90</v>
      </c>
      <c r="AM41" s="3">
        <v>45580.458333333343</v>
      </c>
      <c r="AN41">
        <v>1</v>
      </c>
      <c r="AO41" s="3"/>
      <c r="AT41" t="b">
        <v>0</v>
      </c>
      <c r="AU41" t="s">
        <v>74</v>
      </c>
      <c r="AV41" t="b">
        <v>1</v>
      </c>
      <c r="AW41" t="b">
        <v>0</v>
      </c>
      <c r="AX41" s="5">
        <v>0</v>
      </c>
      <c r="AY41" s="3"/>
      <c r="AZ41" t="s">
        <v>67</v>
      </c>
      <c r="BA41" t="s">
        <v>67</v>
      </c>
      <c r="BB41" t="s">
        <v>317</v>
      </c>
    </row>
    <row r="42" spans="1:54" x14ac:dyDescent="0.3">
      <c r="A42">
        <v>1</v>
      </c>
      <c r="B42">
        <v>15</v>
      </c>
      <c r="C42" t="s">
        <v>54</v>
      </c>
      <c r="D42" s="3">
        <v>45517.617905092593</v>
      </c>
      <c r="E42" s="8">
        <v>45518</v>
      </c>
      <c r="F42" t="s">
        <v>495</v>
      </c>
      <c r="G42" t="s">
        <v>307</v>
      </c>
      <c r="H42" t="s">
        <v>496</v>
      </c>
      <c r="I42" t="s">
        <v>497</v>
      </c>
      <c r="J42" t="s">
        <v>59</v>
      </c>
      <c r="L42" t="s">
        <v>217</v>
      </c>
      <c r="M42" t="s">
        <v>63</v>
      </c>
      <c r="O42" t="s">
        <v>498</v>
      </c>
      <c r="P42" t="s">
        <v>499</v>
      </c>
      <c r="Q42" s="5">
        <v>4</v>
      </c>
      <c r="R42" s="6">
        <v>35</v>
      </c>
      <c r="S42" s="6">
        <v>140</v>
      </c>
      <c r="T42" s="6">
        <v>50.12</v>
      </c>
      <c r="U42" s="3">
        <v>46218.291666666657</v>
      </c>
      <c r="W42" t="s">
        <v>500</v>
      </c>
      <c r="X42" t="s">
        <v>67</v>
      </c>
      <c r="Y42" t="s">
        <v>68</v>
      </c>
      <c r="Z42" t="s">
        <v>69</v>
      </c>
      <c r="AA42" t="s">
        <v>69</v>
      </c>
      <c r="AB42" t="s">
        <v>67</v>
      </c>
      <c r="AC42" t="s">
        <v>70</v>
      </c>
      <c r="AD42" t="s">
        <v>71</v>
      </c>
      <c r="AE42" t="s">
        <v>110</v>
      </c>
      <c r="AF42" t="s">
        <v>67</v>
      </c>
      <c r="AG42" t="s">
        <v>501</v>
      </c>
      <c r="AH42" t="b">
        <v>0</v>
      </c>
      <c r="AI42" t="b">
        <v>1</v>
      </c>
      <c r="AJ42" t="b">
        <v>0</v>
      </c>
      <c r="AK42" t="b">
        <v>1</v>
      </c>
      <c r="AL42" s="6">
        <v>12.53</v>
      </c>
      <c r="AM42" s="3">
        <v>45699.458333333343</v>
      </c>
      <c r="AN42">
        <v>1</v>
      </c>
      <c r="AO42" s="3"/>
      <c r="AT42" t="b">
        <v>0</v>
      </c>
      <c r="AU42" t="s">
        <v>74</v>
      </c>
      <c r="AV42" t="b">
        <v>1</v>
      </c>
      <c r="AW42" t="b">
        <v>0</v>
      </c>
      <c r="AX42" s="5">
        <v>0</v>
      </c>
      <c r="AY42" s="3"/>
      <c r="AZ42" t="s">
        <v>67</v>
      </c>
      <c r="BA42" t="s">
        <v>67</v>
      </c>
      <c r="BB42" t="s">
        <v>317</v>
      </c>
    </row>
    <row r="43" spans="1:54" x14ac:dyDescent="0.3">
      <c r="A43">
        <v>1</v>
      </c>
      <c r="B43">
        <v>15</v>
      </c>
      <c r="C43" t="s">
        <v>54</v>
      </c>
      <c r="D43" s="3">
        <v>45533.491875</v>
      </c>
      <c r="E43" s="8">
        <v>45533</v>
      </c>
      <c r="F43" t="s">
        <v>502</v>
      </c>
      <c r="G43" t="s">
        <v>307</v>
      </c>
      <c r="H43" t="s">
        <v>503</v>
      </c>
      <c r="I43" t="s">
        <v>504</v>
      </c>
      <c r="J43" t="s">
        <v>363</v>
      </c>
      <c r="K43" t="s">
        <v>505</v>
      </c>
      <c r="L43" t="s">
        <v>365</v>
      </c>
      <c r="M43" t="s">
        <v>366</v>
      </c>
      <c r="N43" t="s">
        <v>366</v>
      </c>
      <c r="O43" t="s">
        <v>506</v>
      </c>
      <c r="P43" t="s">
        <v>507</v>
      </c>
      <c r="Q43" s="5">
        <v>2</v>
      </c>
      <c r="R43" s="6">
        <v>237.8</v>
      </c>
      <c r="S43" s="6">
        <v>475.6</v>
      </c>
      <c r="T43" s="6">
        <v>226.42</v>
      </c>
      <c r="U43" s="3">
        <v>45635.256944444453</v>
      </c>
      <c r="W43" t="s">
        <v>508</v>
      </c>
      <c r="X43" t="s">
        <v>67</v>
      </c>
      <c r="Y43" t="s">
        <v>68</v>
      </c>
      <c r="Z43" t="s">
        <v>69</v>
      </c>
      <c r="AA43" t="s">
        <v>69</v>
      </c>
      <c r="AB43" t="s">
        <v>70</v>
      </c>
      <c r="AC43" t="s">
        <v>70</v>
      </c>
      <c r="AD43" t="s">
        <v>370</v>
      </c>
      <c r="AE43" t="s">
        <v>371</v>
      </c>
      <c r="AF43" t="s">
        <v>67</v>
      </c>
      <c r="AG43" t="s">
        <v>509</v>
      </c>
      <c r="AH43" t="b">
        <v>0</v>
      </c>
      <c r="AI43" t="b">
        <v>0</v>
      </c>
      <c r="AJ43" t="b">
        <v>0</v>
      </c>
      <c r="AK43" t="b">
        <v>0</v>
      </c>
      <c r="AL43" s="6">
        <v>113.21</v>
      </c>
      <c r="AM43" s="3">
        <v>45624.458333333343</v>
      </c>
      <c r="AN43">
        <v>1</v>
      </c>
      <c r="AO43" s="3"/>
      <c r="AT43" t="b">
        <v>0</v>
      </c>
      <c r="AU43" t="s">
        <v>74</v>
      </c>
      <c r="AV43" t="b">
        <v>1</v>
      </c>
      <c r="AW43" t="b">
        <v>0</v>
      </c>
      <c r="AX43" s="5">
        <v>0</v>
      </c>
      <c r="AY43" s="3"/>
      <c r="AZ43" t="s">
        <v>67</v>
      </c>
      <c r="BA43" t="s">
        <v>67</v>
      </c>
      <c r="BB43" t="s">
        <v>317</v>
      </c>
    </row>
    <row r="44" spans="1:54" x14ac:dyDescent="0.3">
      <c r="A44">
        <v>1</v>
      </c>
      <c r="B44">
        <v>15</v>
      </c>
      <c r="C44" t="s">
        <v>54</v>
      </c>
      <c r="D44" s="3">
        <v>45535.387233796297</v>
      </c>
      <c r="E44" s="8">
        <v>45535</v>
      </c>
      <c r="F44" t="s">
        <v>510</v>
      </c>
      <c r="G44" t="s">
        <v>307</v>
      </c>
      <c r="H44" t="s">
        <v>511</v>
      </c>
      <c r="I44" t="s">
        <v>512</v>
      </c>
      <c r="J44" t="s">
        <v>310</v>
      </c>
      <c r="K44" t="s">
        <v>513</v>
      </c>
      <c r="L44" t="s">
        <v>384</v>
      </c>
      <c r="M44" t="s">
        <v>312</v>
      </c>
      <c r="N44" t="s">
        <v>312</v>
      </c>
      <c r="O44" t="s">
        <v>313</v>
      </c>
      <c r="P44" t="s">
        <v>314</v>
      </c>
      <c r="Q44" s="5">
        <v>1</v>
      </c>
      <c r="R44" s="6">
        <v>100</v>
      </c>
      <c r="S44" s="6">
        <v>100</v>
      </c>
      <c r="T44" s="6">
        <v>0</v>
      </c>
      <c r="U44" s="3">
        <v>45633.236111111109</v>
      </c>
      <c r="W44" t="s">
        <v>514</v>
      </c>
      <c r="X44" t="s">
        <v>70</v>
      </c>
      <c r="Y44" t="s">
        <v>23</v>
      </c>
      <c r="Z44" t="s">
        <v>69</v>
      </c>
      <c r="AA44" t="s">
        <v>69</v>
      </c>
      <c r="AB44" t="s">
        <v>70</v>
      </c>
      <c r="AC44" t="s">
        <v>70</v>
      </c>
      <c r="AD44" t="s">
        <v>316</v>
      </c>
      <c r="AE44" t="s">
        <v>102</v>
      </c>
      <c r="AF44" t="s">
        <v>67</v>
      </c>
      <c r="AH44" t="b">
        <v>1</v>
      </c>
      <c r="AI44" t="b">
        <v>1</v>
      </c>
      <c r="AJ44" t="b">
        <v>0</v>
      </c>
      <c r="AK44" t="b">
        <v>1</v>
      </c>
      <c r="AL44" s="6">
        <v>0</v>
      </c>
      <c r="AM44" s="3">
        <v>45633.236111111109</v>
      </c>
      <c r="AN44">
        <v>1</v>
      </c>
      <c r="AO44" s="3"/>
      <c r="AT44" t="b">
        <v>0</v>
      </c>
      <c r="AU44" t="s">
        <v>74</v>
      </c>
      <c r="AV44" t="b">
        <v>1</v>
      </c>
      <c r="AW44" t="b">
        <v>0</v>
      </c>
      <c r="AX44" s="5">
        <v>0</v>
      </c>
      <c r="AY44" s="3"/>
      <c r="AZ44" t="s">
        <v>67</v>
      </c>
      <c r="BA44" t="s">
        <v>67</v>
      </c>
      <c r="BB44" t="s">
        <v>317</v>
      </c>
    </row>
    <row r="45" spans="1:54" x14ac:dyDescent="0.3">
      <c r="A45">
        <v>1</v>
      </c>
      <c r="B45">
        <v>15</v>
      </c>
      <c r="C45" t="s">
        <v>54</v>
      </c>
      <c r="D45" s="3">
        <v>45545.343032407407</v>
      </c>
      <c r="E45" s="8">
        <v>45545</v>
      </c>
      <c r="F45" t="s">
        <v>515</v>
      </c>
      <c r="G45" t="s">
        <v>307</v>
      </c>
      <c r="H45" t="s">
        <v>516</v>
      </c>
      <c r="I45" t="s">
        <v>517</v>
      </c>
      <c r="J45" t="s">
        <v>59</v>
      </c>
      <c r="L45" t="s">
        <v>217</v>
      </c>
      <c r="M45" t="s">
        <v>63</v>
      </c>
      <c r="O45" t="s">
        <v>518</v>
      </c>
      <c r="P45" t="s">
        <v>519</v>
      </c>
      <c r="Q45" s="5">
        <v>1</v>
      </c>
      <c r="R45" s="6">
        <v>91</v>
      </c>
      <c r="S45" s="6">
        <v>91</v>
      </c>
      <c r="T45" s="6">
        <v>32.83</v>
      </c>
      <c r="U45" s="3">
        <v>46245.607638888891</v>
      </c>
      <c r="W45" t="s">
        <v>520</v>
      </c>
      <c r="X45" t="s">
        <v>67</v>
      </c>
      <c r="Y45" t="s">
        <v>68</v>
      </c>
      <c r="Z45" t="s">
        <v>521</v>
      </c>
      <c r="AA45" t="s">
        <v>522</v>
      </c>
      <c r="AB45" t="s">
        <v>70</v>
      </c>
      <c r="AC45" t="s">
        <v>70</v>
      </c>
      <c r="AD45" t="s">
        <v>71</v>
      </c>
      <c r="AE45" t="s">
        <v>110</v>
      </c>
      <c r="AF45" t="s">
        <v>67</v>
      </c>
      <c r="AG45" t="s">
        <v>523</v>
      </c>
      <c r="AH45" t="b">
        <v>0</v>
      </c>
      <c r="AI45" t="b">
        <v>1</v>
      </c>
      <c r="AJ45" t="b">
        <v>1</v>
      </c>
      <c r="AK45" t="b">
        <v>1</v>
      </c>
      <c r="AL45" s="6">
        <v>32.83</v>
      </c>
      <c r="AM45" s="3">
        <v>46245.607638888891</v>
      </c>
      <c r="AN45">
        <v>1</v>
      </c>
      <c r="AO45" s="3"/>
      <c r="AT45" t="b">
        <v>0</v>
      </c>
      <c r="AU45" t="s">
        <v>74</v>
      </c>
      <c r="AV45" t="b">
        <v>1</v>
      </c>
      <c r="AW45" t="b">
        <v>0</v>
      </c>
      <c r="AX45" s="5">
        <v>0</v>
      </c>
      <c r="AY45" s="3"/>
      <c r="AZ45" t="s">
        <v>67</v>
      </c>
      <c r="BA45" t="s">
        <v>67</v>
      </c>
      <c r="BB45" t="s">
        <v>317</v>
      </c>
    </row>
    <row r="46" spans="1:54" x14ac:dyDescent="0.3">
      <c r="A46">
        <v>1</v>
      </c>
      <c r="B46">
        <v>15</v>
      </c>
      <c r="C46" t="s">
        <v>54</v>
      </c>
      <c r="D46" s="3">
        <v>45545.667650462958</v>
      </c>
      <c r="E46" s="8">
        <v>45545</v>
      </c>
      <c r="F46" t="s">
        <v>524</v>
      </c>
      <c r="G46" t="s">
        <v>307</v>
      </c>
      <c r="H46" t="s">
        <v>525</v>
      </c>
      <c r="I46" t="s">
        <v>526</v>
      </c>
      <c r="J46" t="s">
        <v>59</v>
      </c>
      <c r="L46" t="s">
        <v>217</v>
      </c>
      <c r="M46" t="s">
        <v>63</v>
      </c>
      <c r="O46" t="s">
        <v>228</v>
      </c>
      <c r="P46" t="s">
        <v>229</v>
      </c>
      <c r="Q46" s="5">
        <v>1</v>
      </c>
      <c r="R46" s="6">
        <v>135</v>
      </c>
      <c r="S46" s="6">
        <v>135</v>
      </c>
      <c r="T46" s="6">
        <v>90</v>
      </c>
      <c r="U46" s="3">
        <v>46001.229166666657</v>
      </c>
      <c r="W46" t="s">
        <v>527</v>
      </c>
      <c r="X46" t="s">
        <v>67</v>
      </c>
      <c r="Y46" t="s">
        <v>68</v>
      </c>
      <c r="Z46" t="s">
        <v>69</v>
      </c>
      <c r="AA46" t="s">
        <v>69</v>
      </c>
      <c r="AB46" t="s">
        <v>70</v>
      </c>
      <c r="AC46" t="s">
        <v>70</v>
      </c>
      <c r="AD46" t="s">
        <v>71</v>
      </c>
      <c r="AE46" t="s">
        <v>84</v>
      </c>
      <c r="AF46" t="s">
        <v>67</v>
      </c>
      <c r="AG46" t="s">
        <v>228</v>
      </c>
      <c r="AH46" t="b">
        <v>0</v>
      </c>
      <c r="AI46" t="b">
        <v>0</v>
      </c>
      <c r="AJ46" t="b">
        <v>0</v>
      </c>
      <c r="AK46" t="b">
        <v>0</v>
      </c>
      <c r="AL46" s="6">
        <v>90</v>
      </c>
      <c r="AM46" s="3">
        <v>46001.229166666657</v>
      </c>
      <c r="AN46">
        <v>1</v>
      </c>
      <c r="AO46" s="3"/>
      <c r="AT46" t="b">
        <v>0</v>
      </c>
      <c r="AU46" t="s">
        <v>74</v>
      </c>
      <c r="AV46" t="b">
        <v>1</v>
      </c>
      <c r="AW46" t="b">
        <v>0</v>
      </c>
      <c r="AX46" s="5">
        <v>0</v>
      </c>
      <c r="AY46" s="3"/>
      <c r="AZ46" t="s">
        <v>67</v>
      </c>
      <c r="BA46" t="s">
        <v>67</v>
      </c>
      <c r="BB46" t="s">
        <v>317</v>
      </c>
    </row>
    <row r="47" spans="1:54" x14ac:dyDescent="0.3">
      <c r="A47">
        <v>1</v>
      </c>
      <c r="B47">
        <v>15</v>
      </c>
      <c r="C47" t="s">
        <v>54</v>
      </c>
      <c r="D47" s="3">
        <v>45561.705613425933</v>
      </c>
      <c r="E47" s="8">
        <v>45561</v>
      </c>
      <c r="F47" t="s">
        <v>528</v>
      </c>
      <c r="G47" t="s">
        <v>307</v>
      </c>
      <c r="H47" t="s">
        <v>529</v>
      </c>
      <c r="I47" t="s">
        <v>530</v>
      </c>
      <c r="J47" t="s">
        <v>363</v>
      </c>
      <c r="K47" t="s">
        <v>259</v>
      </c>
      <c r="L47" t="s">
        <v>365</v>
      </c>
      <c r="M47" t="s">
        <v>366</v>
      </c>
      <c r="N47" t="s">
        <v>366</v>
      </c>
      <c r="O47" t="s">
        <v>531</v>
      </c>
      <c r="P47" t="s">
        <v>532</v>
      </c>
      <c r="Q47" s="5">
        <v>1</v>
      </c>
      <c r="R47" s="6">
        <v>25</v>
      </c>
      <c r="S47" s="6">
        <v>25</v>
      </c>
      <c r="T47" s="6">
        <v>9.8800000000000008</v>
      </c>
      <c r="U47" s="3">
        <v>45959.25</v>
      </c>
      <c r="W47" t="s">
        <v>533</v>
      </c>
      <c r="X47" t="s">
        <v>67</v>
      </c>
      <c r="Y47" t="s">
        <v>68</v>
      </c>
      <c r="Z47" t="s">
        <v>521</v>
      </c>
      <c r="AA47" t="s">
        <v>522</v>
      </c>
      <c r="AB47" t="s">
        <v>70</v>
      </c>
      <c r="AC47" t="s">
        <v>70</v>
      </c>
      <c r="AD47" t="s">
        <v>370</v>
      </c>
      <c r="AE47" t="s">
        <v>371</v>
      </c>
      <c r="AF47" t="s">
        <v>67</v>
      </c>
      <c r="AG47" t="s">
        <v>531</v>
      </c>
      <c r="AH47" t="b">
        <v>1</v>
      </c>
      <c r="AI47" t="b">
        <v>1</v>
      </c>
      <c r="AJ47" t="b">
        <v>1</v>
      </c>
      <c r="AK47" t="b">
        <v>1</v>
      </c>
      <c r="AL47" s="6">
        <v>9.8800000000000008</v>
      </c>
      <c r="AM47" s="3">
        <v>45959.25</v>
      </c>
      <c r="AN47">
        <v>1</v>
      </c>
      <c r="AO47" s="3"/>
      <c r="AT47" t="b">
        <v>0</v>
      </c>
      <c r="AU47" t="s">
        <v>74</v>
      </c>
      <c r="AV47" t="b">
        <v>1</v>
      </c>
      <c r="AW47" t="b">
        <v>0</v>
      </c>
      <c r="AX47" s="5">
        <v>0</v>
      </c>
      <c r="AY47" s="3"/>
      <c r="AZ47" t="s">
        <v>67</v>
      </c>
      <c r="BA47" t="s">
        <v>67</v>
      </c>
      <c r="BB47" t="s">
        <v>317</v>
      </c>
    </row>
    <row r="48" spans="1:54" x14ac:dyDescent="0.3">
      <c r="A48">
        <v>1</v>
      </c>
      <c r="B48">
        <v>15</v>
      </c>
      <c r="C48" t="s">
        <v>54</v>
      </c>
      <c r="D48" s="3">
        <v>45572.687303240738</v>
      </c>
      <c r="E48" s="8">
        <v>45572</v>
      </c>
      <c r="F48" t="s">
        <v>534</v>
      </c>
      <c r="G48" t="s">
        <v>307</v>
      </c>
      <c r="H48" t="s">
        <v>535</v>
      </c>
      <c r="I48" t="s">
        <v>536</v>
      </c>
      <c r="J48" t="s">
        <v>310</v>
      </c>
      <c r="K48" t="s">
        <v>537</v>
      </c>
      <c r="L48" t="s">
        <v>348</v>
      </c>
      <c r="M48" t="s">
        <v>312</v>
      </c>
      <c r="N48" t="s">
        <v>312</v>
      </c>
      <c r="O48" t="s">
        <v>313</v>
      </c>
      <c r="P48" t="s">
        <v>314</v>
      </c>
      <c r="Q48" s="5">
        <v>1</v>
      </c>
      <c r="R48" s="6">
        <v>100</v>
      </c>
      <c r="S48" s="6">
        <v>100</v>
      </c>
      <c r="T48" s="6">
        <v>0</v>
      </c>
      <c r="U48" s="3">
        <v>45328.520833333343</v>
      </c>
      <c r="W48" t="s">
        <v>538</v>
      </c>
      <c r="X48" t="s">
        <v>70</v>
      </c>
      <c r="Y48" t="s">
        <v>23</v>
      </c>
      <c r="Z48" t="s">
        <v>69</v>
      </c>
      <c r="AA48" t="s">
        <v>69</v>
      </c>
      <c r="AB48" t="s">
        <v>70</v>
      </c>
      <c r="AC48" t="s">
        <v>70</v>
      </c>
      <c r="AD48" t="s">
        <v>316</v>
      </c>
      <c r="AE48" t="s">
        <v>102</v>
      </c>
      <c r="AF48" t="s">
        <v>67</v>
      </c>
      <c r="AH48" t="b">
        <v>0</v>
      </c>
      <c r="AI48" t="b">
        <v>0</v>
      </c>
      <c r="AJ48" t="b">
        <v>0</v>
      </c>
      <c r="AK48" t="b">
        <v>1</v>
      </c>
      <c r="AL48" s="6">
        <v>0</v>
      </c>
      <c r="AM48" s="3">
        <v>45325.229166666657</v>
      </c>
      <c r="AN48">
        <v>1</v>
      </c>
      <c r="AO48" s="3"/>
      <c r="AT48" t="b">
        <v>0</v>
      </c>
      <c r="AU48" t="s">
        <v>74</v>
      </c>
      <c r="AV48" t="b">
        <v>1</v>
      </c>
      <c r="AW48" t="b">
        <v>0</v>
      </c>
      <c r="AX48" s="5">
        <v>0</v>
      </c>
      <c r="AY48" s="3"/>
      <c r="AZ48" t="s">
        <v>67</v>
      </c>
      <c r="BA48" t="s">
        <v>67</v>
      </c>
      <c r="BB48" t="s">
        <v>317</v>
      </c>
    </row>
    <row r="49" spans="1:54" x14ac:dyDescent="0.3">
      <c r="A49">
        <v>1</v>
      </c>
      <c r="B49">
        <v>15</v>
      </c>
      <c r="C49" t="s">
        <v>54</v>
      </c>
      <c r="D49" s="3">
        <v>45580.465497685182</v>
      </c>
      <c r="E49" s="8">
        <v>45580</v>
      </c>
      <c r="F49" t="s">
        <v>539</v>
      </c>
      <c r="G49" t="s">
        <v>307</v>
      </c>
      <c r="H49" t="s">
        <v>540</v>
      </c>
      <c r="I49" t="s">
        <v>541</v>
      </c>
      <c r="J49" t="s">
        <v>59</v>
      </c>
      <c r="K49" t="s">
        <v>537</v>
      </c>
      <c r="L49" t="s">
        <v>217</v>
      </c>
      <c r="M49" t="s">
        <v>63</v>
      </c>
      <c r="N49" t="s">
        <v>63</v>
      </c>
      <c r="O49" t="s">
        <v>274</v>
      </c>
      <c r="P49" t="s">
        <v>275</v>
      </c>
      <c r="Q49" s="5">
        <v>1</v>
      </c>
      <c r="R49" s="6">
        <v>80</v>
      </c>
      <c r="S49" s="6">
        <v>80</v>
      </c>
      <c r="T49" s="6">
        <v>51.54</v>
      </c>
      <c r="U49" s="3">
        <v>45699.291666666657</v>
      </c>
      <c r="W49" t="s">
        <v>542</v>
      </c>
      <c r="X49" t="s">
        <v>67</v>
      </c>
      <c r="Y49" t="s">
        <v>68</v>
      </c>
      <c r="Z49" t="s">
        <v>69</v>
      </c>
      <c r="AA49" t="s">
        <v>69</v>
      </c>
      <c r="AB49" t="s">
        <v>70</v>
      </c>
      <c r="AC49" t="s">
        <v>70</v>
      </c>
      <c r="AD49" t="s">
        <v>71</v>
      </c>
      <c r="AE49" t="s">
        <v>84</v>
      </c>
      <c r="AF49" t="s">
        <v>67</v>
      </c>
      <c r="AG49" t="s">
        <v>274</v>
      </c>
      <c r="AH49" t="b">
        <v>0</v>
      </c>
      <c r="AI49" t="b">
        <v>1</v>
      </c>
      <c r="AJ49" t="b">
        <v>0</v>
      </c>
      <c r="AK49" t="b">
        <v>1</v>
      </c>
      <c r="AL49" s="6">
        <v>51.54</v>
      </c>
      <c r="AM49" s="3">
        <v>45699.291666666657</v>
      </c>
      <c r="AN49">
        <v>1</v>
      </c>
      <c r="AO49" s="3"/>
      <c r="AT49" t="b">
        <v>0</v>
      </c>
      <c r="AU49" t="s">
        <v>74</v>
      </c>
      <c r="AV49" t="b">
        <v>1</v>
      </c>
      <c r="AW49" t="b">
        <v>0</v>
      </c>
      <c r="AX49" s="5">
        <v>0</v>
      </c>
      <c r="AY49" s="3"/>
      <c r="AZ49" t="s">
        <v>67</v>
      </c>
      <c r="BA49" t="s">
        <v>67</v>
      </c>
      <c r="BB49" t="s">
        <v>317</v>
      </c>
    </row>
    <row r="50" spans="1:54" x14ac:dyDescent="0.3">
      <c r="A50">
        <v>1</v>
      </c>
      <c r="B50">
        <v>15</v>
      </c>
      <c r="C50" t="s">
        <v>54</v>
      </c>
      <c r="D50" s="3">
        <v>45631.486863425933</v>
      </c>
      <c r="E50" s="8">
        <v>45631</v>
      </c>
      <c r="F50" t="s">
        <v>543</v>
      </c>
      <c r="G50" t="s">
        <v>307</v>
      </c>
      <c r="H50" t="s">
        <v>544</v>
      </c>
      <c r="I50" t="s">
        <v>545</v>
      </c>
      <c r="J50" t="s">
        <v>310</v>
      </c>
      <c r="K50" t="s">
        <v>513</v>
      </c>
      <c r="L50" t="s">
        <v>384</v>
      </c>
      <c r="M50" t="s">
        <v>312</v>
      </c>
      <c r="N50" t="s">
        <v>312</v>
      </c>
      <c r="O50" t="s">
        <v>313</v>
      </c>
      <c r="P50" t="s">
        <v>314</v>
      </c>
      <c r="Q50" s="5">
        <v>1</v>
      </c>
      <c r="R50" s="6">
        <v>100</v>
      </c>
      <c r="S50" s="6">
        <v>100</v>
      </c>
      <c r="T50" s="6">
        <v>0</v>
      </c>
      <c r="U50" s="3">
        <v>45667.566666666673</v>
      </c>
      <c r="W50" t="s">
        <v>546</v>
      </c>
      <c r="X50" t="s">
        <v>70</v>
      </c>
      <c r="Y50" t="s">
        <v>23</v>
      </c>
      <c r="Z50" t="s">
        <v>69</v>
      </c>
      <c r="AA50" t="s">
        <v>69</v>
      </c>
      <c r="AB50" t="s">
        <v>67</v>
      </c>
      <c r="AC50" t="s">
        <v>70</v>
      </c>
      <c r="AD50" t="s">
        <v>316</v>
      </c>
      <c r="AE50" t="s">
        <v>102</v>
      </c>
      <c r="AF50" t="s">
        <v>67</v>
      </c>
      <c r="AH50" t="b">
        <v>1</v>
      </c>
      <c r="AI50" t="b">
        <v>1</v>
      </c>
      <c r="AJ50" t="b">
        <v>0</v>
      </c>
      <c r="AK50" t="b">
        <v>1</v>
      </c>
      <c r="AL50" s="6">
        <v>0</v>
      </c>
      <c r="AM50" s="3">
        <v>45667.566666666673</v>
      </c>
      <c r="AN50">
        <v>1</v>
      </c>
      <c r="AO50" s="3"/>
      <c r="AT50" t="b">
        <v>0</v>
      </c>
      <c r="AU50" t="s">
        <v>74</v>
      </c>
      <c r="AV50" t="b">
        <v>1</v>
      </c>
      <c r="AW50" t="b">
        <v>0</v>
      </c>
      <c r="AX50" s="5">
        <v>0</v>
      </c>
      <c r="AY50" s="3"/>
      <c r="AZ50" t="s">
        <v>67</v>
      </c>
      <c r="BA50" t="s">
        <v>67</v>
      </c>
      <c r="BB50" t="s">
        <v>317</v>
      </c>
    </row>
    <row r="51" spans="1:54" x14ac:dyDescent="0.3">
      <c r="A51">
        <v>1</v>
      </c>
      <c r="B51">
        <v>15</v>
      </c>
      <c r="C51" t="s">
        <v>54</v>
      </c>
      <c r="D51" s="3">
        <v>45631.643449074072</v>
      </c>
      <c r="E51" s="8">
        <v>45631</v>
      </c>
      <c r="F51" t="s">
        <v>547</v>
      </c>
      <c r="G51" t="s">
        <v>307</v>
      </c>
      <c r="H51" t="s">
        <v>548</v>
      </c>
      <c r="I51" t="s">
        <v>549</v>
      </c>
      <c r="J51" t="s">
        <v>310</v>
      </c>
      <c r="K51" t="s">
        <v>321</v>
      </c>
      <c r="L51" t="s">
        <v>398</v>
      </c>
      <c r="M51" t="s">
        <v>312</v>
      </c>
      <c r="O51" t="s">
        <v>313</v>
      </c>
      <c r="P51" t="s">
        <v>314</v>
      </c>
      <c r="Q51" s="5">
        <v>1</v>
      </c>
      <c r="R51" s="6">
        <v>100</v>
      </c>
      <c r="S51" s="6">
        <v>100</v>
      </c>
      <c r="T51" s="6">
        <v>0</v>
      </c>
      <c r="U51" s="3">
        <v>45694.208333333343</v>
      </c>
      <c r="W51" t="s">
        <v>550</v>
      </c>
      <c r="X51" t="s">
        <v>70</v>
      </c>
      <c r="Y51" t="s">
        <v>23</v>
      </c>
      <c r="Z51" t="s">
        <v>69</v>
      </c>
      <c r="AA51" t="s">
        <v>69</v>
      </c>
      <c r="AB51" t="s">
        <v>67</v>
      </c>
      <c r="AC51" t="s">
        <v>70</v>
      </c>
      <c r="AD51" t="s">
        <v>316</v>
      </c>
      <c r="AE51" t="s">
        <v>102</v>
      </c>
      <c r="AF51" t="s">
        <v>67</v>
      </c>
      <c r="AH51" t="b">
        <v>1</v>
      </c>
      <c r="AI51" t="b">
        <v>1</v>
      </c>
      <c r="AJ51" t="b">
        <v>0</v>
      </c>
      <c r="AK51" t="b">
        <v>1</v>
      </c>
      <c r="AL51" s="6">
        <v>0</v>
      </c>
      <c r="AM51" s="3">
        <v>45694.208333333343</v>
      </c>
      <c r="AN51">
        <v>1</v>
      </c>
      <c r="AO51" s="3"/>
      <c r="AT51" t="b">
        <v>0</v>
      </c>
      <c r="AU51" t="s">
        <v>74</v>
      </c>
      <c r="AV51" t="b">
        <v>1</v>
      </c>
      <c r="AW51" t="b">
        <v>0</v>
      </c>
      <c r="AX51" s="5">
        <v>0</v>
      </c>
      <c r="AY51" s="3"/>
      <c r="AZ51" t="s">
        <v>67</v>
      </c>
      <c r="BA51" t="s">
        <v>67</v>
      </c>
      <c r="BB51" t="s">
        <v>317</v>
      </c>
    </row>
    <row r="52" spans="1:54" x14ac:dyDescent="0.3">
      <c r="A52">
        <v>1</v>
      </c>
      <c r="B52">
        <v>15</v>
      </c>
      <c r="C52" t="s">
        <v>54</v>
      </c>
      <c r="D52" s="3">
        <v>45635.380671296298</v>
      </c>
      <c r="E52" s="8">
        <v>45635</v>
      </c>
      <c r="F52" t="s">
        <v>551</v>
      </c>
      <c r="G52" t="s">
        <v>307</v>
      </c>
      <c r="H52" t="s">
        <v>552</v>
      </c>
      <c r="I52" t="s">
        <v>553</v>
      </c>
      <c r="J52" t="s">
        <v>59</v>
      </c>
      <c r="K52" t="s">
        <v>554</v>
      </c>
      <c r="L52" t="s">
        <v>217</v>
      </c>
      <c r="M52" t="s">
        <v>62</v>
      </c>
      <c r="N52" t="s">
        <v>62</v>
      </c>
      <c r="O52" t="s">
        <v>82</v>
      </c>
      <c r="P52" t="s">
        <v>83</v>
      </c>
      <c r="Q52" s="5">
        <v>1</v>
      </c>
      <c r="R52" s="6">
        <v>140</v>
      </c>
      <c r="S52" s="6">
        <v>140</v>
      </c>
      <c r="T52" s="6">
        <v>93.1</v>
      </c>
      <c r="U52" s="3">
        <v>45671.479166666657</v>
      </c>
      <c r="W52" t="s">
        <v>555</v>
      </c>
      <c r="X52" t="s">
        <v>67</v>
      </c>
      <c r="Y52" t="s">
        <v>68</v>
      </c>
      <c r="Z52" t="s">
        <v>69</v>
      </c>
      <c r="AA52" t="s">
        <v>69</v>
      </c>
      <c r="AB52" t="s">
        <v>70</v>
      </c>
      <c r="AC52" t="s">
        <v>70</v>
      </c>
      <c r="AD52" t="s">
        <v>71</v>
      </c>
      <c r="AE52" t="s">
        <v>84</v>
      </c>
      <c r="AF52" t="s">
        <v>67</v>
      </c>
      <c r="AG52" t="s">
        <v>82</v>
      </c>
      <c r="AH52" t="b">
        <v>0</v>
      </c>
      <c r="AI52" t="b">
        <v>1</v>
      </c>
      <c r="AJ52" t="b">
        <v>0</v>
      </c>
      <c r="AK52" t="b">
        <v>1</v>
      </c>
      <c r="AL52" s="6">
        <v>93.1</v>
      </c>
      <c r="AM52" s="3">
        <v>45671.479166666657</v>
      </c>
      <c r="AN52">
        <v>1</v>
      </c>
      <c r="AO52" s="3"/>
      <c r="AT52" t="b">
        <v>0</v>
      </c>
      <c r="AU52" t="s">
        <v>74</v>
      </c>
      <c r="AV52" t="b">
        <v>1</v>
      </c>
      <c r="AW52" t="b">
        <v>0</v>
      </c>
      <c r="AX52" s="5">
        <v>0</v>
      </c>
      <c r="AY52" s="3"/>
      <c r="AZ52" t="s">
        <v>67</v>
      </c>
      <c r="BA52" t="s">
        <v>67</v>
      </c>
      <c r="BB52" t="s">
        <v>317</v>
      </c>
    </row>
    <row r="53" spans="1:54" x14ac:dyDescent="0.3">
      <c r="A53">
        <v>1</v>
      </c>
      <c r="B53">
        <v>15</v>
      </c>
      <c r="C53" t="s">
        <v>54</v>
      </c>
      <c r="D53" s="3">
        <v>45667.356203703697</v>
      </c>
      <c r="E53" s="8">
        <v>45667</v>
      </c>
      <c r="F53" t="s">
        <v>556</v>
      </c>
      <c r="G53" t="s">
        <v>307</v>
      </c>
      <c r="H53" t="s">
        <v>557</v>
      </c>
      <c r="I53" t="s">
        <v>558</v>
      </c>
      <c r="J53" t="s">
        <v>310</v>
      </c>
      <c r="L53" t="s">
        <v>384</v>
      </c>
      <c r="M53" t="s">
        <v>312</v>
      </c>
      <c r="N53" t="s">
        <v>312</v>
      </c>
      <c r="O53" t="s">
        <v>313</v>
      </c>
      <c r="P53" t="s">
        <v>314</v>
      </c>
      <c r="Q53" s="5">
        <v>1</v>
      </c>
      <c r="R53" s="6">
        <v>100</v>
      </c>
      <c r="S53" s="6">
        <v>100</v>
      </c>
      <c r="T53" s="6">
        <v>0</v>
      </c>
      <c r="U53" s="3">
        <v>45668.208333333343</v>
      </c>
      <c r="W53" t="s">
        <v>559</v>
      </c>
      <c r="X53" t="s">
        <v>70</v>
      </c>
      <c r="Y53" t="s">
        <v>23</v>
      </c>
      <c r="Z53" t="s">
        <v>69</v>
      </c>
      <c r="AA53" t="s">
        <v>69</v>
      </c>
      <c r="AB53" t="s">
        <v>67</v>
      </c>
      <c r="AC53" t="s">
        <v>70</v>
      </c>
      <c r="AD53" t="s">
        <v>316</v>
      </c>
      <c r="AE53" t="s">
        <v>102</v>
      </c>
      <c r="AF53" t="s">
        <v>67</v>
      </c>
      <c r="AH53" t="b">
        <v>1</v>
      </c>
      <c r="AI53" t="b">
        <v>1</v>
      </c>
      <c r="AJ53" t="b">
        <v>0</v>
      </c>
      <c r="AK53" t="b">
        <v>1</v>
      </c>
      <c r="AL53" s="6">
        <v>0</v>
      </c>
      <c r="AM53" s="3">
        <v>45668.208333333343</v>
      </c>
      <c r="AN53">
        <v>1</v>
      </c>
      <c r="AO53" s="3"/>
      <c r="AT53" t="b">
        <v>0</v>
      </c>
      <c r="AU53" t="s">
        <v>74</v>
      </c>
      <c r="AV53" t="b">
        <v>1</v>
      </c>
      <c r="AW53" t="b">
        <v>0</v>
      </c>
      <c r="AX53" s="5">
        <v>0</v>
      </c>
      <c r="AY53" s="3"/>
      <c r="AZ53" t="s">
        <v>67</v>
      </c>
      <c r="BA53" t="s">
        <v>67</v>
      </c>
      <c r="BB53" t="s">
        <v>317</v>
      </c>
    </row>
    <row r="54" spans="1:54" x14ac:dyDescent="0.3">
      <c r="A54">
        <v>1</v>
      </c>
      <c r="B54">
        <v>15</v>
      </c>
      <c r="C54" t="s">
        <v>54</v>
      </c>
      <c r="D54" s="3">
        <v>45667.496539351851</v>
      </c>
      <c r="E54" s="8">
        <v>45667</v>
      </c>
      <c r="F54" t="s">
        <v>560</v>
      </c>
      <c r="G54" t="s">
        <v>307</v>
      </c>
      <c r="H54" t="s">
        <v>561</v>
      </c>
      <c r="I54" t="s">
        <v>562</v>
      </c>
      <c r="J54" t="s">
        <v>310</v>
      </c>
      <c r="K54" t="s">
        <v>447</v>
      </c>
      <c r="L54" t="s">
        <v>398</v>
      </c>
      <c r="M54" t="s">
        <v>312</v>
      </c>
      <c r="O54" t="s">
        <v>313</v>
      </c>
      <c r="P54" t="s">
        <v>314</v>
      </c>
      <c r="Q54" s="5">
        <v>1</v>
      </c>
      <c r="R54" s="6">
        <v>100</v>
      </c>
      <c r="S54" s="6">
        <v>100</v>
      </c>
      <c r="T54" s="6">
        <v>0</v>
      </c>
      <c r="U54" s="3">
        <v>45786.604166666657</v>
      </c>
      <c r="W54" t="s">
        <v>563</v>
      </c>
      <c r="X54" t="s">
        <v>70</v>
      </c>
      <c r="Y54" t="s">
        <v>23</v>
      </c>
      <c r="Z54" t="s">
        <v>69</v>
      </c>
      <c r="AA54" t="s">
        <v>69</v>
      </c>
      <c r="AB54" t="s">
        <v>67</v>
      </c>
      <c r="AC54" t="s">
        <v>70</v>
      </c>
      <c r="AD54" t="s">
        <v>316</v>
      </c>
      <c r="AE54" t="s">
        <v>102</v>
      </c>
      <c r="AF54" t="s">
        <v>67</v>
      </c>
      <c r="AH54" t="b">
        <v>1</v>
      </c>
      <c r="AI54" t="b">
        <v>1</v>
      </c>
      <c r="AJ54" t="b">
        <v>0</v>
      </c>
      <c r="AK54" t="b">
        <v>1</v>
      </c>
      <c r="AL54" s="6">
        <v>0</v>
      </c>
      <c r="AM54" s="3">
        <v>45786.479166666657</v>
      </c>
      <c r="AN54">
        <v>1</v>
      </c>
      <c r="AO54" s="3"/>
      <c r="AT54" t="b">
        <v>0</v>
      </c>
      <c r="AU54" t="s">
        <v>74</v>
      </c>
      <c r="AV54" t="b">
        <v>1</v>
      </c>
      <c r="AW54" t="b">
        <v>0</v>
      </c>
      <c r="AX54" s="5">
        <v>0</v>
      </c>
      <c r="AY54" s="3"/>
      <c r="AZ54" t="s">
        <v>67</v>
      </c>
      <c r="BA54" t="s">
        <v>67</v>
      </c>
      <c r="BB54" t="s">
        <v>317</v>
      </c>
    </row>
    <row r="55" spans="1:54" x14ac:dyDescent="0.3">
      <c r="A55">
        <v>1</v>
      </c>
      <c r="B55">
        <v>15</v>
      </c>
      <c r="C55" t="s">
        <v>54</v>
      </c>
      <c r="D55" s="3">
        <v>45667.627384259264</v>
      </c>
      <c r="E55" s="8">
        <v>45667</v>
      </c>
      <c r="F55" t="s">
        <v>564</v>
      </c>
      <c r="G55" t="s">
        <v>307</v>
      </c>
      <c r="H55" t="s">
        <v>565</v>
      </c>
      <c r="I55" t="s">
        <v>566</v>
      </c>
      <c r="J55" t="s">
        <v>310</v>
      </c>
      <c r="K55" t="s">
        <v>403</v>
      </c>
      <c r="L55" t="s">
        <v>384</v>
      </c>
      <c r="M55" t="s">
        <v>312</v>
      </c>
      <c r="N55" t="s">
        <v>312</v>
      </c>
      <c r="O55" t="s">
        <v>313</v>
      </c>
      <c r="P55" t="s">
        <v>314</v>
      </c>
      <c r="Q55" s="5">
        <v>1</v>
      </c>
      <c r="R55" s="6">
        <v>100</v>
      </c>
      <c r="S55" s="6">
        <v>100</v>
      </c>
      <c r="T55" s="6">
        <v>0</v>
      </c>
      <c r="U55" s="3">
        <v>45695.256944444453</v>
      </c>
      <c r="W55" t="s">
        <v>567</v>
      </c>
      <c r="X55" t="s">
        <v>70</v>
      </c>
      <c r="Y55" t="s">
        <v>23</v>
      </c>
      <c r="Z55" t="s">
        <v>69</v>
      </c>
      <c r="AA55" t="s">
        <v>69</v>
      </c>
      <c r="AB55" t="s">
        <v>70</v>
      </c>
      <c r="AC55" t="s">
        <v>70</v>
      </c>
      <c r="AD55" t="s">
        <v>316</v>
      </c>
      <c r="AE55" t="s">
        <v>102</v>
      </c>
      <c r="AF55" t="s">
        <v>67</v>
      </c>
      <c r="AH55" t="b">
        <v>1</v>
      </c>
      <c r="AI55" t="b">
        <v>1</v>
      </c>
      <c r="AJ55" t="b">
        <v>0</v>
      </c>
      <c r="AK55" t="b">
        <v>1</v>
      </c>
      <c r="AL55" s="6">
        <v>0</v>
      </c>
      <c r="AM55" s="3">
        <v>45695.256944444453</v>
      </c>
      <c r="AN55">
        <v>1</v>
      </c>
      <c r="AO55" s="3"/>
      <c r="AT55" t="b">
        <v>0</v>
      </c>
      <c r="AU55" t="s">
        <v>74</v>
      </c>
      <c r="AV55" t="b">
        <v>1</v>
      </c>
      <c r="AW55" t="b">
        <v>0</v>
      </c>
      <c r="AX55" s="5">
        <v>0</v>
      </c>
      <c r="AY55" s="3"/>
      <c r="AZ55" t="s">
        <v>67</v>
      </c>
      <c r="BA55" t="s">
        <v>67</v>
      </c>
      <c r="BB55" t="s">
        <v>317</v>
      </c>
    </row>
    <row r="56" spans="1:54" x14ac:dyDescent="0.3">
      <c r="A56">
        <v>1</v>
      </c>
      <c r="B56">
        <v>15</v>
      </c>
      <c r="C56" t="s">
        <v>54</v>
      </c>
      <c r="D56" s="3">
        <v>45668.341238425928</v>
      </c>
      <c r="E56" s="8">
        <v>45668</v>
      </c>
      <c r="F56" t="s">
        <v>568</v>
      </c>
      <c r="G56" t="s">
        <v>307</v>
      </c>
      <c r="H56" t="s">
        <v>569</v>
      </c>
      <c r="I56" t="s">
        <v>570</v>
      </c>
      <c r="J56" t="s">
        <v>310</v>
      </c>
      <c r="K56" t="s">
        <v>353</v>
      </c>
      <c r="L56" t="s">
        <v>384</v>
      </c>
      <c r="M56" t="s">
        <v>312</v>
      </c>
      <c r="N56" t="s">
        <v>312</v>
      </c>
      <c r="O56" t="s">
        <v>313</v>
      </c>
      <c r="P56" t="s">
        <v>314</v>
      </c>
      <c r="Q56" s="5">
        <v>1</v>
      </c>
      <c r="R56" s="6">
        <v>100</v>
      </c>
      <c r="S56" s="6">
        <v>100</v>
      </c>
      <c r="T56" s="6">
        <v>0</v>
      </c>
      <c r="U56" s="3">
        <v>45695.458333333343</v>
      </c>
      <c r="W56" t="s">
        <v>571</v>
      </c>
      <c r="X56" t="s">
        <v>70</v>
      </c>
      <c r="Y56" t="s">
        <v>23</v>
      </c>
      <c r="Z56" t="s">
        <v>69</v>
      </c>
      <c r="AA56" t="s">
        <v>69</v>
      </c>
      <c r="AB56" t="s">
        <v>67</v>
      </c>
      <c r="AC56" t="s">
        <v>70</v>
      </c>
      <c r="AD56" t="s">
        <v>316</v>
      </c>
      <c r="AE56" t="s">
        <v>102</v>
      </c>
      <c r="AF56" t="s">
        <v>67</v>
      </c>
      <c r="AH56" t="b">
        <v>0</v>
      </c>
      <c r="AI56" t="b">
        <v>1</v>
      </c>
      <c r="AJ56" t="b">
        <v>0</v>
      </c>
      <c r="AK56" t="b">
        <v>1</v>
      </c>
      <c r="AL56" s="6">
        <v>0</v>
      </c>
      <c r="AM56" s="3">
        <v>45695.458333333343</v>
      </c>
      <c r="AN56">
        <v>1</v>
      </c>
      <c r="AO56" s="3"/>
      <c r="AT56" t="b">
        <v>0</v>
      </c>
      <c r="AU56" t="s">
        <v>74</v>
      </c>
      <c r="AV56" t="b">
        <v>1</v>
      </c>
      <c r="AW56" t="b">
        <v>0</v>
      </c>
      <c r="AX56" s="5">
        <v>0</v>
      </c>
      <c r="AY56" s="3"/>
      <c r="AZ56" t="s">
        <v>67</v>
      </c>
      <c r="BA56" t="s">
        <v>67</v>
      </c>
      <c r="BB56" t="s">
        <v>317</v>
      </c>
    </row>
    <row r="57" spans="1:54" x14ac:dyDescent="0.3">
      <c r="A57">
        <v>1</v>
      </c>
      <c r="B57">
        <v>15</v>
      </c>
      <c r="C57" t="s">
        <v>54</v>
      </c>
      <c r="D57" s="3">
        <v>45695.739872685182</v>
      </c>
      <c r="E57" s="8">
        <v>45695</v>
      </c>
      <c r="F57" t="s">
        <v>572</v>
      </c>
      <c r="G57" t="s">
        <v>307</v>
      </c>
      <c r="H57" t="s">
        <v>573</v>
      </c>
      <c r="I57" t="s">
        <v>574</v>
      </c>
      <c r="J57" t="s">
        <v>310</v>
      </c>
      <c r="K57" t="s">
        <v>321</v>
      </c>
      <c r="L57" t="s">
        <v>398</v>
      </c>
      <c r="M57" t="s">
        <v>312</v>
      </c>
      <c r="O57" t="s">
        <v>313</v>
      </c>
      <c r="P57" t="s">
        <v>314</v>
      </c>
      <c r="Q57" s="5">
        <v>1</v>
      </c>
      <c r="R57" s="6">
        <v>100</v>
      </c>
      <c r="S57" s="6">
        <v>100</v>
      </c>
      <c r="T57" s="6">
        <v>0</v>
      </c>
      <c r="U57" s="3">
        <v>45750.236111111109</v>
      </c>
      <c r="W57" t="s">
        <v>575</v>
      </c>
      <c r="X57" t="s">
        <v>70</v>
      </c>
      <c r="Y57" t="s">
        <v>23</v>
      </c>
      <c r="Z57" t="s">
        <v>69</v>
      </c>
      <c r="AA57" t="s">
        <v>69</v>
      </c>
      <c r="AB57" t="s">
        <v>70</v>
      </c>
      <c r="AC57" t="s">
        <v>70</v>
      </c>
      <c r="AD57" t="s">
        <v>316</v>
      </c>
      <c r="AE57" t="s">
        <v>102</v>
      </c>
      <c r="AF57" t="s">
        <v>67</v>
      </c>
      <c r="AH57" t="b">
        <v>1</v>
      </c>
      <c r="AI57" t="b">
        <v>1</v>
      </c>
      <c r="AJ57" t="b">
        <v>0</v>
      </c>
      <c r="AK57" t="b">
        <v>1</v>
      </c>
      <c r="AL57" s="6">
        <v>0</v>
      </c>
      <c r="AM57" s="3">
        <v>45750.236111111109</v>
      </c>
      <c r="AN57">
        <v>1</v>
      </c>
      <c r="AO57" s="3"/>
      <c r="AT57" t="b">
        <v>0</v>
      </c>
      <c r="AU57" t="s">
        <v>74</v>
      </c>
      <c r="AV57" t="b">
        <v>1</v>
      </c>
      <c r="AW57" t="b">
        <v>0</v>
      </c>
      <c r="AX57" s="5">
        <v>0</v>
      </c>
      <c r="AY57" s="3"/>
      <c r="AZ57" t="s">
        <v>67</v>
      </c>
      <c r="BA57" t="s">
        <v>67</v>
      </c>
      <c r="BB57" t="s">
        <v>317</v>
      </c>
    </row>
    <row r="58" spans="1:54" x14ac:dyDescent="0.3">
      <c r="A58">
        <v>1</v>
      </c>
      <c r="B58">
        <v>15</v>
      </c>
      <c r="C58" t="s">
        <v>54</v>
      </c>
      <c r="D58" s="3">
        <v>45696.342476851853</v>
      </c>
      <c r="E58" s="8">
        <v>45696</v>
      </c>
      <c r="F58" t="s">
        <v>576</v>
      </c>
      <c r="G58" t="s">
        <v>307</v>
      </c>
      <c r="H58" t="s">
        <v>577</v>
      </c>
      <c r="I58" t="s">
        <v>578</v>
      </c>
      <c r="J58" t="s">
        <v>310</v>
      </c>
      <c r="K58" t="s">
        <v>579</v>
      </c>
      <c r="L58" t="s">
        <v>398</v>
      </c>
      <c r="M58" t="s">
        <v>312</v>
      </c>
      <c r="O58" t="s">
        <v>313</v>
      </c>
      <c r="P58" t="s">
        <v>314</v>
      </c>
      <c r="Q58" s="5">
        <v>2</v>
      </c>
      <c r="R58" s="6">
        <v>100</v>
      </c>
      <c r="S58" s="6">
        <v>200</v>
      </c>
      <c r="T58" s="6">
        <v>0</v>
      </c>
      <c r="U58" s="3">
        <v>45800.465277777781</v>
      </c>
      <c r="W58" t="s">
        <v>580</v>
      </c>
      <c r="X58" t="s">
        <v>70</v>
      </c>
      <c r="Y58" t="s">
        <v>23</v>
      </c>
      <c r="Z58" t="s">
        <v>69</v>
      </c>
      <c r="AA58" t="s">
        <v>69</v>
      </c>
      <c r="AB58" t="s">
        <v>67</v>
      </c>
      <c r="AC58" t="s">
        <v>70</v>
      </c>
      <c r="AD58" t="s">
        <v>316</v>
      </c>
      <c r="AE58" t="s">
        <v>102</v>
      </c>
      <c r="AF58" t="s">
        <v>67</v>
      </c>
      <c r="AH58" t="b">
        <v>1</v>
      </c>
      <c r="AI58" t="b">
        <v>0</v>
      </c>
      <c r="AJ58" t="b">
        <v>0</v>
      </c>
      <c r="AK58" t="b">
        <v>0</v>
      </c>
      <c r="AL58" s="6">
        <v>0</v>
      </c>
      <c r="AM58" s="3">
        <v>45779.458333333343</v>
      </c>
      <c r="AN58">
        <v>1</v>
      </c>
      <c r="AO58" s="3"/>
      <c r="AT58" t="b">
        <v>0</v>
      </c>
      <c r="AU58" t="s">
        <v>74</v>
      </c>
      <c r="AV58" t="b">
        <v>1</v>
      </c>
      <c r="AW58" t="b">
        <v>0</v>
      </c>
      <c r="AX58" s="5">
        <v>0</v>
      </c>
      <c r="AY58" s="3"/>
      <c r="AZ58" t="s">
        <v>67</v>
      </c>
      <c r="BA58" t="s">
        <v>67</v>
      </c>
      <c r="BB58" t="s">
        <v>317</v>
      </c>
    </row>
    <row r="59" spans="1:54" x14ac:dyDescent="0.3">
      <c r="A59">
        <v>1</v>
      </c>
      <c r="B59">
        <v>15</v>
      </c>
      <c r="C59" t="s">
        <v>54</v>
      </c>
      <c r="D59" s="3">
        <v>45717.348854166667</v>
      </c>
      <c r="E59" s="8">
        <v>45717</v>
      </c>
      <c r="F59" t="s">
        <v>581</v>
      </c>
      <c r="G59" t="s">
        <v>307</v>
      </c>
      <c r="H59" t="s">
        <v>582</v>
      </c>
      <c r="I59" t="s">
        <v>583</v>
      </c>
      <c r="J59" t="s">
        <v>310</v>
      </c>
      <c r="K59" t="s">
        <v>353</v>
      </c>
      <c r="L59" t="s">
        <v>384</v>
      </c>
      <c r="M59" t="s">
        <v>312</v>
      </c>
      <c r="N59" t="s">
        <v>312</v>
      </c>
      <c r="O59" t="s">
        <v>313</v>
      </c>
      <c r="P59" t="s">
        <v>314</v>
      </c>
      <c r="Q59" s="5">
        <v>1</v>
      </c>
      <c r="R59" s="6">
        <v>100</v>
      </c>
      <c r="S59" s="6">
        <v>100</v>
      </c>
      <c r="T59" s="6">
        <v>0</v>
      </c>
      <c r="U59" s="3">
        <v>45751.208333333343</v>
      </c>
      <c r="W59" t="s">
        <v>584</v>
      </c>
      <c r="X59" t="s">
        <v>70</v>
      </c>
      <c r="Y59" t="s">
        <v>23</v>
      </c>
      <c r="Z59" t="s">
        <v>69</v>
      </c>
      <c r="AA59" t="s">
        <v>69</v>
      </c>
      <c r="AB59" t="s">
        <v>67</v>
      </c>
      <c r="AC59" t="s">
        <v>70</v>
      </c>
      <c r="AD59" t="s">
        <v>316</v>
      </c>
      <c r="AE59" t="s">
        <v>102</v>
      </c>
      <c r="AF59" t="s">
        <v>67</v>
      </c>
      <c r="AH59" t="b">
        <v>1</v>
      </c>
      <c r="AI59" t="b">
        <v>1</v>
      </c>
      <c r="AJ59" t="b">
        <v>0</v>
      </c>
      <c r="AK59" t="b">
        <v>1</v>
      </c>
      <c r="AL59" s="6">
        <v>0</v>
      </c>
      <c r="AM59" s="3">
        <v>45751.208333333343</v>
      </c>
      <c r="AN59">
        <v>1</v>
      </c>
      <c r="AO59" s="3"/>
      <c r="AT59" t="b">
        <v>0</v>
      </c>
      <c r="AU59" t="s">
        <v>74</v>
      </c>
      <c r="AV59" t="b">
        <v>1</v>
      </c>
      <c r="AW59" t="b">
        <v>0</v>
      </c>
      <c r="AX59" s="5">
        <v>0</v>
      </c>
      <c r="AY59" s="3"/>
      <c r="AZ59" t="s">
        <v>67</v>
      </c>
      <c r="BA59" t="s">
        <v>67</v>
      </c>
      <c r="BB59" t="s">
        <v>317</v>
      </c>
    </row>
    <row r="60" spans="1:54" x14ac:dyDescent="0.3">
      <c r="A60">
        <v>1</v>
      </c>
      <c r="B60">
        <v>15</v>
      </c>
      <c r="C60" t="s">
        <v>54</v>
      </c>
      <c r="D60" s="3">
        <v>45717.400335648148</v>
      </c>
      <c r="E60" s="8">
        <v>45717</v>
      </c>
      <c r="F60" t="s">
        <v>585</v>
      </c>
      <c r="G60" t="s">
        <v>307</v>
      </c>
      <c r="H60" t="s">
        <v>586</v>
      </c>
      <c r="I60" t="s">
        <v>587</v>
      </c>
      <c r="J60" t="s">
        <v>310</v>
      </c>
      <c r="K60" t="s">
        <v>588</v>
      </c>
      <c r="L60" t="s">
        <v>384</v>
      </c>
      <c r="M60" t="s">
        <v>312</v>
      </c>
      <c r="O60" t="s">
        <v>313</v>
      </c>
      <c r="P60" t="s">
        <v>314</v>
      </c>
      <c r="Q60" s="5">
        <v>1</v>
      </c>
      <c r="R60" s="6">
        <v>100</v>
      </c>
      <c r="S60" s="6">
        <v>100</v>
      </c>
      <c r="T60" s="6">
        <v>0</v>
      </c>
      <c r="U60" s="3">
        <v>45933.229166666657</v>
      </c>
      <c r="W60" t="s">
        <v>589</v>
      </c>
      <c r="X60" t="s">
        <v>70</v>
      </c>
      <c r="Y60" t="s">
        <v>23</v>
      </c>
      <c r="Z60" t="s">
        <v>69</v>
      </c>
      <c r="AA60" t="s">
        <v>69</v>
      </c>
      <c r="AB60" t="s">
        <v>67</v>
      </c>
      <c r="AC60" t="s">
        <v>70</v>
      </c>
      <c r="AD60" t="s">
        <v>316</v>
      </c>
      <c r="AE60" t="s">
        <v>102</v>
      </c>
      <c r="AF60" t="s">
        <v>67</v>
      </c>
      <c r="AH60" t="b">
        <v>0</v>
      </c>
      <c r="AI60" t="b">
        <v>0</v>
      </c>
      <c r="AJ60" t="b">
        <v>0</v>
      </c>
      <c r="AK60" t="b">
        <v>0</v>
      </c>
      <c r="AL60" s="6">
        <v>0</v>
      </c>
      <c r="AM60" s="3"/>
      <c r="AN60">
        <v>1</v>
      </c>
      <c r="AO60" s="3"/>
      <c r="AT60" t="b">
        <v>0</v>
      </c>
      <c r="AU60" t="s">
        <v>74</v>
      </c>
      <c r="AV60" t="b">
        <v>1</v>
      </c>
      <c r="AW60" t="b">
        <v>0</v>
      </c>
      <c r="AX60" s="5">
        <v>0</v>
      </c>
      <c r="AY60" s="3"/>
      <c r="AZ60" t="s">
        <v>67</v>
      </c>
      <c r="BA60" t="s">
        <v>67</v>
      </c>
      <c r="BB60" t="s">
        <v>317</v>
      </c>
    </row>
    <row r="61" spans="1:54" x14ac:dyDescent="0.3">
      <c r="A61">
        <v>1</v>
      </c>
      <c r="B61">
        <v>15</v>
      </c>
      <c r="C61" t="s">
        <v>54</v>
      </c>
      <c r="D61" s="3">
        <v>45735.471724537027</v>
      </c>
      <c r="E61" s="8">
        <v>45735</v>
      </c>
      <c r="F61" t="s">
        <v>590</v>
      </c>
      <c r="G61" t="s">
        <v>307</v>
      </c>
      <c r="H61" t="s">
        <v>591</v>
      </c>
      <c r="I61" t="s">
        <v>592</v>
      </c>
      <c r="J61" t="s">
        <v>593</v>
      </c>
      <c r="K61" t="s">
        <v>594</v>
      </c>
      <c r="L61" t="s">
        <v>595</v>
      </c>
      <c r="M61" t="s">
        <v>312</v>
      </c>
      <c r="N61" t="s">
        <v>312</v>
      </c>
      <c r="O61" t="s">
        <v>313</v>
      </c>
      <c r="P61" t="s">
        <v>314</v>
      </c>
      <c r="Q61" s="5">
        <v>1</v>
      </c>
      <c r="R61" s="6">
        <v>100</v>
      </c>
      <c r="S61" s="6">
        <v>100</v>
      </c>
      <c r="T61" s="6">
        <v>0</v>
      </c>
      <c r="U61" s="3">
        <v>46008.458333333343</v>
      </c>
      <c r="W61" t="s">
        <v>596</v>
      </c>
      <c r="X61" t="s">
        <v>70</v>
      </c>
      <c r="Y61" t="s">
        <v>23</v>
      </c>
      <c r="Z61" t="s">
        <v>69</v>
      </c>
      <c r="AA61" t="s">
        <v>69</v>
      </c>
      <c r="AB61" t="s">
        <v>67</v>
      </c>
      <c r="AC61" t="s">
        <v>70</v>
      </c>
      <c r="AD61" t="s">
        <v>316</v>
      </c>
      <c r="AE61" t="s">
        <v>102</v>
      </c>
      <c r="AF61" t="s">
        <v>67</v>
      </c>
      <c r="AH61" t="b">
        <v>1</v>
      </c>
      <c r="AI61" t="b">
        <v>0</v>
      </c>
      <c r="AJ61" t="b">
        <v>0</v>
      </c>
      <c r="AK61" t="b">
        <v>0</v>
      </c>
      <c r="AL61" s="6">
        <v>0</v>
      </c>
      <c r="AM61" s="3">
        <v>46008.458333333343</v>
      </c>
      <c r="AN61">
        <v>1</v>
      </c>
      <c r="AO61" s="3"/>
      <c r="AT61" t="b">
        <v>0</v>
      </c>
      <c r="AU61" t="s">
        <v>74</v>
      </c>
      <c r="AV61" t="b">
        <v>1</v>
      </c>
      <c r="AW61" t="b">
        <v>0</v>
      </c>
      <c r="AX61" s="5">
        <v>0</v>
      </c>
      <c r="AY61" s="3"/>
      <c r="AZ61" t="s">
        <v>67</v>
      </c>
      <c r="BA61" t="s">
        <v>67</v>
      </c>
      <c r="BB61" t="s">
        <v>317</v>
      </c>
    </row>
    <row r="62" spans="1:54" x14ac:dyDescent="0.3">
      <c r="A62">
        <v>1</v>
      </c>
      <c r="B62">
        <v>15</v>
      </c>
      <c r="C62" t="s">
        <v>54</v>
      </c>
      <c r="D62" s="3">
        <v>45735.485347222217</v>
      </c>
      <c r="E62" s="8">
        <v>45735</v>
      </c>
      <c r="F62" t="s">
        <v>597</v>
      </c>
      <c r="G62" t="s">
        <v>307</v>
      </c>
      <c r="H62" t="s">
        <v>598</v>
      </c>
      <c r="I62" t="s">
        <v>599</v>
      </c>
      <c r="J62" t="s">
        <v>593</v>
      </c>
      <c r="L62" t="s">
        <v>600</v>
      </c>
      <c r="M62" t="s">
        <v>312</v>
      </c>
      <c r="N62" t="s">
        <v>312</v>
      </c>
      <c r="O62" t="s">
        <v>313</v>
      </c>
      <c r="P62" t="s">
        <v>314</v>
      </c>
      <c r="Q62" s="5">
        <v>1</v>
      </c>
      <c r="R62" s="6">
        <v>100</v>
      </c>
      <c r="S62" s="6">
        <v>100</v>
      </c>
      <c r="T62" s="6">
        <v>0</v>
      </c>
      <c r="U62" s="3">
        <v>45751.3125</v>
      </c>
      <c r="W62" t="s">
        <v>601</v>
      </c>
      <c r="X62" t="s">
        <v>70</v>
      </c>
      <c r="Y62" t="s">
        <v>23</v>
      </c>
      <c r="Z62" t="s">
        <v>69</v>
      </c>
      <c r="AA62" t="s">
        <v>69</v>
      </c>
      <c r="AB62" t="s">
        <v>67</v>
      </c>
      <c r="AC62" t="s">
        <v>70</v>
      </c>
      <c r="AD62" t="s">
        <v>316</v>
      </c>
      <c r="AE62" t="s">
        <v>102</v>
      </c>
      <c r="AF62" t="s">
        <v>67</v>
      </c>
      <c r="AH62" t="b">
        <v>1</v>
      </c>
      <c r="AI62" t="b">
        <v>1</v>
      </c>
      <c r="AJ62" t="b">
        <v>0</v>
      </c>
      <c r="AK62" t="b">
        <v>1</v>
      </c>
      <c r="AL62" s="6">
        <v>0</v>
      </c>
      <c r="AM62" s="3">
        <v>45737.479166666657</v>
      </c>
      <c r="AN62">
        <v>1</v>
      </c>
      <c r="AO62" s="3"/>
      <c r="AT62" t="b">
        <v>0</v>
      </c>
      <c r="AU62" t="s">
        <v>74</v>
      </c>
      <c r="AV62" t="b">
        <v>1</v>
      </c>
      <c r="AW62" t="b">
        <v>0</v>
      </c>
      <c r="AX62" s="5">
        <v>0</v>
      </c>
      <c r="AY62" s="3"/>
      <c r="AZ62" t="s">
        <v>67</v>
      </c>
      <c r="BA62" t="s">
        <v>67</v>
      </c>
      <c r="BB62" t="s">
        <v>317</v>
      </c>
    </row>
    <row r="63" spans="1:54" x14ac:dyDescent="0.3">
      <c r="A63">
        <v>1</v>
      </c>
      <c r="B63">
        <v>15</v>
      </c>
      <c r="C63" t="s">
        <v>54</v>
      </c>
      <c r="D63" s="3">
        <v>45735.489606481482</v>
      </c>
      <c r="E63" s="8">
        <v>45735</v>
      </c>
      <c r="F63" t="s">
        <v>602</v>
      </c>
      <c r="G63" t="s">
        <v>307</v>
      </c>
      <c r="H63" t="s">
        <v>603</v>
      </c>
      <c r="I63" t="s">
        <v>604</v>
      </c>
      <c r="J63" t="s">
        <v>593</v>
      </c>
      <c r="K63" t="s">
        <v>605</v>
      </c>
      <c r="L63" t="s">
        <v>600</v>
      </c>
      <c r="M63" t="s">
        <v>312</v>
      </c>
      <c r="N63" t="s">
        <v>312</v>
      </c>
      <c r="O63" t="s">
        <v>313</v>
      </c>
      <c r="P63" t="s">
        <v>314</v>
      </c>
      <c r="Q63" s="5">
        <v>1</v>
      </c>
      <c r="R63" s="6">
        <v>100</v>
      </c>
      <c r="S63" s="6">
        <v>100</v>
      </c>
      <c r="T63" s="6">
        <v>0</v>
      </c>
      <c r="U63" s="3">
        <v>46091.458333333343</v>
      </c>
      <c r="W63" t="s">
        <v>606</v>
      </c>
      <c r="X63" t="s">
        <v>70</v>
      </c>
      <c r="Y63" t="s">
        <v>23</v>
      </c>
      <c r="Z63" t="s">
        <v>69</v>
      </c>
      <c r="AA63" t="s">
        <v>69</v>
      </c>
      <c r="AB63" t="s">
        <v>67</v>
      </c>
      <c r="AC63" t="s">
        <v>70</v>
      </c>
      <c r="AD63" t="s">
        <v>316</v>
      </c>
      <c r="AE63" t="s">
        <v>102</v>
      </c>
      <c r="AF63" t="s">
        <v>67</v>
      </c>
      <c r="AH63" t="b">
        <v>1</v>
      </c>
      <c r="AI63" t="b">
        <v>0</v>
      </c>
      <c r="AJ63" t="b">
        <v>0</v>
      </c>
      <c r="AK63" t="b">
        <v>0</v>
      </c>
      <c r="AL63" s="6">
        <v>0</v>
      </c>
      <c r="AM63" s="3">
        <v>46008.458333333343</v>
      </c>
      <c r="AN63">
        <v>1</v>
      </c>
      <c r="AO63" s="3"/>
      <c r="AT63" t="b">
        <v>0</v>
      </c>
      <c r="AU63" t="s">
        <v>74</v>
      </c>
      <c r="AV63" t="b">
        <v>1</v>
      </c>
      <c r="AW63" t="b">
        <v>0</v>
      </c>
      <c r="AX63" s="5">
        <v>0</v>
      </c>
      <c r="AY63" s="3"/>
      <c r="AZ63" t="s">
        <v>67</v>
      </c>
      <c r="BA63" t="s">
        <v>67</v>
      </c>
      <c r="BB63" t="s">
        <v>317</v>
      </c>
    </row>
    <row r="64" spans="1:54" x14ac:dyDescent="0.3">
      <c r="A64">
        <v>1</v>
      </c>
      <c r="B64">
        <v>15</v>
      </c>
      <c r="C64" t="s">
        <v>54</v>
      </c>
      <c r="D64" s="3">
        <v>45735.492430555547</v>
      </c>
      <c r="E64" s="8">
        <v>45735</v>
      </c>
      <c r="F64" t="s">
        <v>607</v>
      </c>
      <c r="G64" t="s">
        <v>307</v>
      </c>
      <c r="H64" t="s">
        <v>608</v>
      </c>
      <c r="I64" t="s">
        <v>609</v>
      </c>
      <c r="J64" t="s">
        <v>593</v>
      </c>
      <c r="K64" t="s">
        <v>610</v>
      </c>
      <c r="L64" t="s">
        <v>595</v>
      </c>
      <c r="M64" t="s">
        <v>312</v>
      </c>
      <c r="N64" t="s">
        <v>312</v>
      </c>
      <c r="O64" t="s">
        <v>313</v>
      </c>
      <c r="P64" t="s">
        <v>314</v>
      </c>
      <c r="Q64" s="5">
        <v>1</v>
      </c>
      <c r="R64" s="6">
        <v>100</v>
      </c>
      <c r="S64" s="6">
        <v>100</v>
      </c>
      <c r="T64" s="6">
        <v>0</v>
      </c>
      <c r="U64" s="3">
        <v>46316.5625</v>
      </c>
      <c r="W64" t="s">
        <v>611</v>
      </c>
      <c r="X64" t="s">
        <v>70</v>
      </c>
      <c r="Y64" t="s">
        <v>23</v>
      </c>
      <c r="Z64" t="s">
        <v>69</v>
      </c>
      <c r="AA64" t="s">
        <v>69</v>
      </c>
      <c r="AB64" t="s">
        <v>67</v>
      </c>
      <c r="AC64" t="s">
        <v>70</v>
      </c>
      <c r="AD64" t="s">
        <v>316</v>
      </c>
      <c r="AE64" t="s">
        <v>102</v>
      </c>
      <c r="AF64" t="s">
        <v>67</v>
      </c>
      <c r="AH64" t="b">
        <v>1</v>
      </c>
      <c r="AI64" t="b">
        <v>1</v>
      </c>
      <c r="AJ64" t="b">
        <v>0</v>
      </c>
      <c r="AK64" t="b">
        <v>1</v>
      </c>
      <c r="AL64" s="6">
        <v>0</v>
      </c>
      <c r="AM64" s="3">
        <v>45924.25</v>
      </c>
      <c r="AN64">
        <v>1</v>
      </c>
      <c r="AO64" s="3"/>
      <c r="AT64" t="b">
        <v>0</v>
      </c>
      <c r="AU64" t="s">
        <v>74</v>
      </c>
      <c r="AV64" t="b">
        <v>1</v>
      </c>
      <c r="AW64" t="b">
        <v>0</v>
      </c>
      <c r="AX64" s="5">
        <v>0</v>
      </c>
      <c r="AY64" s="3"/>
      <c r="AZ64" t="s">
        <v>67</v>
      </c>
      <c r="BA64" t="s">
        <v>67</v>
      </c>
      <c r="BB64" t="s">
        <v>317</v>
      </c>
    </row>
    <row r="65" spans="1:54" x14ac:dyDescent="0.3">
      <c r="A65">
        <v>1</v>
      </c>
      <c r="B65">
        <v>15</v>
      </c>
      <c r="C65" t="s">
        <v>54</v>
      </c>
      <c r="D65" s="3">
        <v>45735.493726851862</v>
      </c>
      <c r="E65" s="8">
        <v>45735</v>
      </c>
      <c r="F65" t="s">
        <v>612</v>
      </c>
      <c r="G65" t="s">
        <v>307</v>
      </c>
      <c r="H65" t="s">
        <v>613</v>
      </c>
      <c r="I65" t="s">
        <v>614</v>
      </c>
      <c r="J65" t="s">
        <v>593</v>
      </c>
      <c r="K65" t="s">
        <v>615</v>
      </c>
      <c r="L65" t="s">
        <v>600</v>
      </c>
      <c r="M65" t="s">
        <v>312</v>
      </c>
      <c r="N65" t="s">
        <v>312</v>
      </c>
      <c r="O65" t="s">
        <v>313</v>
      </c>
      <c r="P65" t="s">
        <v>314</v>
      </c>
      <c r="Q65" s="5">
        <v>1</v>
      </c>
      <c r="R65" s="6">
        <v>100</v>
      </c>
      <c r="S65" s="6">
        <v>100</v>
      </c>
      <c r="T65" s="6">
        <v>0</v>
      </c>
      <c r="U65" s="3">
        <v>45814.25</v>
      </c>
      <c r="W65" t="s">
        <v>616</v>
      </c>
      <c r="X65" t="s">
        <v>70</v>
      </c>
      <c r="Y65" t="s">
        <v>23</v>
      </c>
      <c r="Z65" t="s">
        <v>69</v>
      </c>
      <c r="AA65" t="s">
        <v>69</v>
      </c>
      <c r="AB65" t="s">
        <v>67</v>
      </c>
      <c r="AC65" t="s">
        <v>70</v>
      </c>
      <c r="AD65" t="s">
        <v>316</v>
      </c>
      <c r="AE65" t="s">
        <v>102</v>
      </c>
      <c r="AF65" t="s">
        <v>67</v>
      </c>
      <c r="AH65" t="b">
        <v>1</v>
      </c>
      <c r="AI65" t="b">
        <v>1</v>
      </c>
      <c r="AJ65" t="b">
        <v>0</v>
      </c>
      <c r="AK65" t="b">
        <v>1</v>
      </c>
      <c r="AL65" s="6">
        <v>0</v>
      </c>
      <c r="AM65" s="3">
        <v>45736.479166666657</v>
      </c>
      <c r="AN65">
        <v>1</v>
      </c>
      <c r="AO65" s="3"/>
      <c r="AT65" t="b">
        <v>0</v>
      </c>
      <c r="AU65" t="s">
        <v>74</v>
      </c>
      <c r="AV65" t="b">
        <v>1</v>
      </c>
      <c r="AW65" t="b">
        <v>0</v>
      </c>
      <c r="AX65" s="5">
        <v>0</v>
      </c>
      <c r="AY65" s="3"/>
      <c r="AZ65" t="s">
        <v>67</v>
      </c>
      <c r="BA65" t="s">
        <v>67</v>
      </c>
      <c r="BB65" t="s">
        <v>317</v>
      </c>
    </row>
    <row r="66" spans="1:54" x14ac:dyDescent="0.3">
      <c r="A66">
        <v>1</v>
      </c>
      <c r="B66">
        <v>15</v>
      </c>
      <c r="C66" t="s">
        <v>54</v>
      </c>
      <c r="D66" s="3">
        <v>45735.500231481477</v>
      </c>
      <c r="E66" s="8">
        <v>45735</v>
      </c>
      <c r="F66" t="s">
        <v>617</v>
      </c>
      <c r="G66" t="s">
        <v>307</v>
      </c>
      <c r="H66" t="s">
        <v>618</v>
      </c>
      <c r="I66" t="s">
        <v>619</v>
      </c>
      <c r="J66" t="s">
        <v>593</v>
      </c>
      <c r="K66" t="s">
        <v>620</v>
      </c>
      <c r="L66" t="s">
        <v>595</v>
      </c>
      <c r="M66" t="s">
        <v>312</v>
      </c>
      <c r="N66" t="s">
        <v>312</v>
      </c>
      <c r="O66" t="s">
        <v>313</v>
      </c>
      <c r="P66" t="s">
        <v>314</v>
      </c>
      <c r="Q66" s="5">
        <v>1</v>
      </c>
      <c r="R66" s="6">
        <v>100</v>
      </c>
      <c r="S66" s="6">
        <v>100</v>
      </c>
      <c r="T66" s="6">
        <v>0</v>
      </c>
      <c r="U66" s="3">
        <v>45771.291666666657</v>
      </c>
      <c r="W66" t="s">
        <v>621</v>
      </c>
      <c r="X66" t="s">
        <v>70</v>
      </c>
      <c r="Y66" t="s">
        <v>23</v>
      </c>
      <c r="Z66" t="s">
        <v>69</v>
      </c>
      <c r="AA66" t="s">
        <v>69</v>
      </c>
      <c r="AB66" t="s">
        <v>67</v>
      </c>
      <c r="AC66" t="s">
        <v>70</v>
      </c>
      <c r="AD66" t="s">
        <v>316</v>
      </c>
      <c r="AE66" t="s">
        <v>102</v>
      </c>
      <c r="AF66" t="s">
        <v>67</v>
      </c>
      <c r="AH66" t="b">
        <v>1</v>
      </c>
      <c r="AI66" t="b">
        <v>1</v>
      </c>
      <c r="AJ66" t="b">
        <v>0</v>
      </c>
      <c r="AK66" t="b">
        <v>1</v>
      </c>
      <c r="AL66" s="6">
        <v>0</v>
      </c>
      <c r="AM66" s="3">
        <v>45736.479166666657</v>
      </c>
      <c r="AN66">
        <v>1</v>
      </c>
      <c r="AO66" s="3"/>
      <c r="AT66" t="b">
        <v>0</v>
      </c>
      <c r="AU66" t="s">
        <v>74</v>
      </c>
      <c r="AV66" t="b">
        <v>1</v>
      </c>
      <c r="AW66" t="b">
        <v>0</v>
      </c>
      <c r="AX66" s="5">
        <v>0</v>
      </c>
      <c r="AY66" s="3"/>
      <c r="AZ66" t="s">
        <v>67</v>
      </c>
      <c r="BA66" t="s">
        <v>67</v>
      </c>
      <c r="BB66" t="s">
        <v>317</v>
      </c>
    </row>
    <row r="67" spans="1:54" x14ac:dyDescent="0.3">
      <c r="A67">
        <v>1</v>
      </c>
      <c r="B67">
        <v>15</v>
      </c>
      <c r="C67" t="s">
        <v>54</v>
      </c>
      <c r="D67" s="3">
        <v>45735.501203703701</v>
      </c>
      <c r="E67" s="8">
        <v>45735</v>
      </c>
      <c r="F67" t="s">
        <v>622</v>
      </c>
      <c r="G67" t="s">
        <v>307</v>
      </c>
      <c r="H67" t="s">
        <v>623</v>
      </c>
      <c r="I67" t="s">
        <v>624</v>
      </c>
      <c r="J67" t="s">
        <v>593</v>
      </c>
      <c r="L67" t="s">
        <v>595</v>
      </c>
      <c r="M67" t="s">
        <v>312</v>
      </c>
      <c r="N67" t="s">
        <v>312</v>
      </c>
      <c r="O67" t="s">
        <v>313</v>
      </c>
      <c r="P67" t="s">
        <v>314</v>
      </c>
      <c r="Q67" s="5">
        <v>1</v>
      </c>
      <c r="R67" s="6">
        <v>100</v>
      </c>
      <c r="S67" s="6">
        <v>100</v>
      </c>
      <c r="T67" s="6">
        <v>0</v>
      </c>
      <c r="U67" s="3">
        <v>46261.3125</v>
      </c>
      <c r="W67" t="s">
        <v>625</v>
      </c>
      <c r="X67" t="s">
        <v>70</v>
      </c>
      <c r="Y67" t="s">
        <v>23</v>
      </c>
      <c r="Z67" t="s">
        <v>69</v>
      </c>
      <c r="AA67" t="s">
        <v>69</v>
      </c>
      <c r="AB67" t="s">
        <v>70</v>
      </c>
      <c r="AC67" t="s">
        <v>70</v>
      </c>
      <c r="AD67" t="s">
        <v>316</v>
      </c>
      <c r="AE67" t="s">
        <v>102</v>
      </c>
      <c r="AF67" t="s">
        <v>67</v>
      </c>
      <c r="AH67" t="b">
        <v>1</v>
      </c>
      <c r="AI67" t="b">
        <v>1</v>
      </c>
      <c r="AJ67" t="b">
        <v>0</v>
      </c>
      <c r="AK67" t="b">
        <v>1</v>
      </c>
      <c r="AL67" s="6">
        <v>0</v>
      </c>
      <c r="AM67" s="3">
        <v>45946.25</v>
      </c>
      <c r="AN67">
        <v>1</v>
      </c>
      <c r="AO67" s="3"/>
      <c r="AT67" t="b">
        <v>0</v>
      </c>
      <c r="AU67" t="s">
        <v>74</v>
      </c>
      <c r="AV67" t="b">
        <v>1</v>
      </c>
      <c r="AW67" t="b">
        <v>0</v>
      </c>
      <c r="AX67" s="5">
        <v>0</v>
      </c>
      <c r="AY67" s="3"/>
      <c r="AZ67" t="s">
        <v>67</v>
      </c>
      <c r="BA67" t="s">
        <v>67</v>
      </c>
      <c r="BB67" t="s">
        <v>317</v>
      </c>
    </row>
    <row r="68" spans="1:54" x14ac:dyDescent="0.3">
      <c r="A68">
        <v>1</v>
      </c>
      <c r="B68">
        <v>15</v>
      </c>
      <c r="C68" t="s">
        <v>54</v>
      </c>
      <c r="D68" s="3">
        <v>45735.502685185187</v>
      </c>
      <c r="E68" s="8">
        <v>45735</v>
      </c>
      <c r="F68" t="s">
        <v>626</v>
      </c>
      <c r="G68" t="s">
        <v>307</v>
      </c>
      <c r="H68" t="s">
        <v>627</v>
      </c>
      <c r="I68" t="s">
        <v>628</v>
      </c>
      <c r="J68" t="s">
        <v>593</v>
      </c>
      <c r="K68" t="s">
        <v>629</v>
      </c>
      <c r="L68" t="s">
        <v>600</v>
      </c>
      <c r="M68" t="s">
        <v>312</v>
      </c>
      <c r="N68" t="s">
        <v>312</v>
      </c>
      <c r="O68" t="s">
        <v>313</v>
      </c>
      <c r="P68" t="s">
        <v>314</v>
      </c>
      <c r="Q68" s="5">
        <v>1</v>
      </c>
      <c r="R68" s="6">
        <v>100</v>
      </c>
      <c r="S68" s="6">
        <v>100</v>
      </c>
      <c r="T68" s="6">
        <v>0</v>
      </c>
      <c r="U68" s="3">
        <v>45980.458333333343</v>
      </c>
      <c r="W68" t="s">
        <v>630</v>
      </c>
      <c r="X68" t="s">
        <v>70</v>
      </c>
      <c r="Y68" t="s">
        <v>23</v>
      </c>
      <c r="Z68" t="s">
        <v>69</v>
      </c>
      <c r="AA68" t="s">
        <v>69</v>
      </c>
      <c r="AB68" t="s">
        <v>67</v>
      </c>
      <c r="AC68" t="s">
        <v>70</v>
      </c>
      <c r="AD68" t="s">
        <v>316</v>
      </c>
      <c r="AE68" t="s">
        <v>102</v>
      </c>
      <c r="AF68" t="s">
        <v>67</v>
      </c>
      <c r="AH68" t="b">
        <v>1</v>
      </c>
      <c r="AI68" t="b">
        <v>1</v>
      </c>
      <c r="AJ68" t="b">
        <v>0</v>
      </c>
      <c r="AK68" t="b">
        <v>1</v>
      </c>
      <c r="AL68" s="6">
        <v>0</v>
      </c>
      <c r="AM68" s="3">
        <v>45980.458333333343</v>
      </c>
      <c r="AN68">
        <v>1</v>
      </c>
      <c r="AO68" s="3"/>
      <c r="AT68" t="b">
        <v>0</v>
      </c>
      <c r="AU68" t="s">
        <v>74</v>
      </c>
      <c r="AV68" t="b">
        <v>1</v>
      </c>
      <c r="AW68" t="b">
        <v>0</v>
      </c>
      <c r="AX68" s="5">
        <v>0</v>
      </c>
      <c r="AY68" s="3"/>
      <c r="AZ68" t="s">
        <v>67</v>
      </c>
      <c r="BA68" t="s">
        <v>67</v>
      </c>
      <c r="BB68" t="s">
        <v>317</v>
      </c>
    </row>
    <row r="69" spans="1:54" x14ac:dyDescent="0.3">
      <c r="A69">
        <v>1</v>
      </c>
      <c r="B69">
        <v>15</v>
      </c>
      <c r="C69" t="s">
        <v>54</v>
      </c>
      <c r="D69" s="3">
        <v>45735.518020833333</v>
      </c>
      <c r="E69" s="8">
        <v>45735</v>
      </c>
      <c r="F69" t="s">
        <v>631</v>
      </c>
      <c r="G69" t="s">
        <v>307</v>
      </c>
      <c r="H69" t="s">
        <v>632</v>
      </c>
      <c r="I69" t="s">
        <v>633</v>
      </c>
      <c r="J69" t="s">
        <v>593</v>
      </c>
      <c r="K69" t="s">
        <v>634</v>
      </c>
      <c r="L69" t="s">
        <v>600</v>
      </c>
      <c r="M69" t="s">
        <v>312</v>
      </c>
      <c r="N69" t="s">
        <v>312</v>
      </c>
      <c r="O69" t="s">
        <v>313</v>
      </c>
      <c r="P69" t="s">
        <v>314</v>
      </c>
      <c r="Q69" s="5">
        <v>1</v>
      </c>
      <c r="R69" s="6">
        <v>100</v>
      </c>
      <c r="S69" s="6">
        <v>100</v>
      </c>
      <c r="T69" s="6">
        <v>0</v>
      </c>
      <c r="U69" s="3">
        <v>45924.25</v>
      </c>
      <c r="W69" t="s">
        <v>635</v>
      </c>
      <c r="X69" t="s">
        <v>70</v>
      </c>
      <c r="Y69" t="s">
        <v>23</v>
      </c>
      <c r="Z69" t="s">
        <v>69</v>
      </c>
      <c r="AA69" t="s">
        <v>69</v>
      </c>
      <c r="AB69" t="s">
        <v>67</v>
      </c>
      <c r="AC69" t="s">
        <v>70</v>
      </c>
      <c r="AD69" t="s">
        <v>316</v>
      </c>
      <c r="AE69" t="s">
        <v>102</v>
      </c>
      <c r="AF69" t="s">
        <v>67</v>
      </c>
      <c r="AH69" t="b">
        <v>1</v>
      </c>
      <c r="AI69" t="b">
        <v>1</v>
      </c>
      <c r="AJ69" t="b">
        <v>0</v>
      </c>
      <c r="AK69" t="b">
        <v>1</v>
      </c>
      <c r="AL69" s="6">
        <v>0</v>
      </c>
      <c r="AM69" s="3">
        <v>45924.25</v>
      </c>
      <c r="AN69">
        <v>1</v>
      </c>
      <c r="AO69" s="3"/>
      <c r="AT69" t="b">
        <v>0</v>
      </c>
      <c r="AU69" t="s">
        <v>74</v>
      </c>
      <c r="AV69" t="b">
        <v>1</v>
      </c>
      <c r="AW69" t="b">
        <v>0</v>
      </c>
      <c r="AX69" s="5">
        <v>0</v>
      </c>
      <c r="AY69" s="3"/>
      <c r="AZ69" t="s">
        <v>67</v>
      </c>
      <c r="BA69" t="s">
        <v>67</v>
      </c>
      <c r="BB69" t="s">
        <v>317</v>
      </c>
    </row>
    <row r="70" spans="1:54" x14ac:dyDescent="0.3">
      <c r="A70">
        <v>1</v>
      </c>
      <c r="B70">
        <v>15</v>
      </c>
      <c r="C70" t="s">
        <v>54</v>
      </c>
      <c r="D70" s="3">
        <v>45735.612766203703</v>
      </c>
      <c r="E70" s="8">
        <v>45735</v>
      </c>
      <c r="F70" t="s">
        <v>636</v>
      </c>
      <c r="G70" t="s">
        <v>307</v>
      </c>
      <c r="H70" t="s">
        <v>637</v>
      </c>
      <c r="I70" t="s">
        <v>638</v>
      </c>
      <c r="J70" t="s">
        <v>593</v>
      </c>
      <c r="L70" t="s">
        <v>595</v>
      </c>
      <c r="M70" t="s">
        <v>312</v>
      </c>
      <c r="N70" t="s">
        <v>312</v>
      </c>
      <c r="O70" t="s">
        <v>313</v>
      </c>
      <c r="P70" t="s">
        <v>314</v>
      </c>
      <c r="Q70" s="5">
        <v>1</v>
      </c>
      <c r="R70" s="6">
        <v>100</v>
      </c>
      <c r="S70" s="6">
        <v>100</v>
      </c>
      <c r="T70" s="6">
        <v>0</v>
      </c>
      <c r="U70" s="3">
        <v>46135.270833333343</v>
      </c>
      <c r="W70" t="s">
        <v>639</v>
      </c>
      <c r="X70" t="s">
        <v>70</v>
      </c>
      <c r="Y70" t="s">
        <v>23</v>
      </c>
      <c r="Z70" t="s">
        <v>69</v>
      </c>
      <c r="AA70" t="s">
        <v>69</v>
      </c>
      <c r="AB70" t="s">
        <v>67</v>
      </c>
      <c r="AC70" t="s">
        <v>70</v>
      </c>
      <c r="AD70" t="s">
        <v>316</v>
      </c>
      <c r="AE70" t="s">
        <v>102</v>
      </c>
      <c r="AF70" t="s">
        <v>67</v>
      </c>
      <c r="AH70" t="b">
        <v>1</v>
      </c>
      <c r="AI70" t="b">
        <v>1</v>
      </c>
      <c r="AJ70" t="b">
        <v>0</v>
      </c>
      <c r="AK70" t="b">
        <v>1</v>
      </c>
      <c r="AL70" s="6">
        <v>0</v>
      </c>
      <c r="AM70" s="3">
        <v>45924.25</v>
      </c>
      <c r="AN70">
        <v>1</v>
      </c>
      <c r="AO70" s="3"/>
      <c r="AT70" t="b">
        <v>0</v>
      </c>
      <c r="AU70" t="s">
        <v>74</v>
      </c>
      <c r="AV70" t="b">
        <v>1</v>
      </c>
      <c r="AW70" t="b">
        <v>0</v>
      </c>
      <c r="AX70" s="5">
        <v>0</v>
      </c>
      <c r="AY70" s="3"/>
      <c r="AZ70" t="s">
        <v>67</v>
      </c>
      <c r="BA70" t="s">
        <v>67</v>
      </c>
      <c r="BB70" t="s">
        <v>317</v>
      </c>
    </row>
    <row r="71" spans="1:54" x14ac:dyDescent="0.3">
      <c r="A71">
        <v>1</v>
      </c>
      <c r="B71">
        <v>15</v>
      </c>
      <c r="C71" t="s">
        <v>54</v>
      </c>
      <c r="D71" s="3">
        <v>45735.641689814824</v>
      </c>
      <c r="E71" s="8">
        <v>45735</v>
      </c>
      <c r="F71" t="s">
        <v>640</v>
      </c>
      <c r="G71" t="s">
        <v>307</v>
      </c>
      <c r="H71" t="s">
        <v>641</v>
      </c>
      <c r="I71" t="s">
        <v>642</v>
      </c>
      <c r="J71" t="s">
        <v>593</v>
      </c>
      <c r="K71" t="s">
        <v>643</v>
      </c>
      <c r="L71" t="s">
        <v>595</v>
      </c>
      <c r="M71" t="s">
        <v>312</v>
      </c>
      <c r="N71" t="s">
        <v>312</v>
      </c>
      <c r="O71" t="s">
        <v>313</v>
      </c>
      <c r="P71" t="s">
        <v>314</v>
      </c>
      <c r="Q71" s="5">
        <v>1</v>
      </c>
      <c r="R71" s="6">
        <v>100</v>
      </c>
      <c r="S71" s="6">
        <v>100</v>
      </c>
      <c r="T71" s="6">
        <v>0</v>
      </c>
      <c r="U71" s="3">
        <v>46092.3125</v>
      </c>
      <c r="W71" t="s">
        <v>644</v>
      </c>
      <c r="X71" t="s">
        <v>70</v>
      </c>
      <c r="Y71" t="s">
        <v>23</v>
      </c>
      <c r="Z71" t="s">
        <v>69</v>
      </c>
      <c r="AA71" t="s">
        <v>69</v>
      </c>
      <c r="AB71" t="s">
        <v>70</v>
      </c>
      <c r="AC71" t="s">
        <v>70</v>
      </c>
      <c r="AD71" t="s">
        <v>316</v>
      </c>
      <c r="AE71" t="s">
        <v>102</v>
      </c>
      <c r="AF71" t="s">
        <v>67</v>
      </c>
      <c r="AH71" t="b">
        <v>1</v>
      </c>
      <c r="AI71" t="b">
        <v>1</v>
      </c>
      <c r="AJ71" t="b">
        <v>0</v>
      </c>
      <c r="AK71" t="b">
        <v>1</v>
      </c>
      <c r="AL71" s="6">
        <v>0</v>
      </c>
      <c r="AM71" s="3">
        <v>45737.458333333343</v>
      </c>
      <c r="AN71">
        <v>1</v>
      </c>
      <c r="AO71" s="3"/>
      <c r="AT71" t="b">
        <v>0</v>
      </c>
      <c r="AU71" t="s">
        <v>74</v>
      </c>
      <c r="AV71" t="b">
        <v>1</v>
      </c>
      <c r="AW71" t="b">
        <v>0</v>
      </c>
      <c r="AX71" s="5">
        <v>0</v>
      </c>
      <c r="AY71" s="3"/>
      <c r="AZ71" t="s">
        <v>67</v>
      </c>
      <c r="BA71" t="s">
        <v>67</v>
      </c>
      <c r="BB71" t="s">
        <v>317</v>
      </c>
    </row>
    <row r="72" spans="1:54" x14ac:dyDescent="0.3">
      <c r="A72">
        <v>1</v>
      </c>
      <c r="B72">
        <v>15</v>
      </c>
      <c r="C72" t="s">
        <v>54</v>
      </c>
      <c r="D72" s="3">
        <v>45735.658321759263</v>
      </c>
      <c r="E72" s="8">
        <v>45735</v>
      </c>
      <c r="F72" t="s">
        <v>645</v>
      </c>
      <c r="G72" t="s">
        <v>307</v>
      </c>
      <c r="H72" t="s">
        <v>646</v>
      </c>
      <c r="I72" t="s">
        <v>647</v>
      </c>
      <c r="J72" t="s">
        <v>593</v>
      </c>
      <c r="L72" t="s">
        <v>595</v>
      </c>
      <c r="M72" t="s">
        <v>312</v>
      </c>
      <c r="N72" t="s">
        <v>312</v>
      </c>
      <c r="O72" t="s">
        <v>313</v>
      </c>
      <c r="P72" t="s">
        <v>314</v>
      </c>
      <c r="Q72" s="5">
        <v>1</v>
      </c>
      <c r="R72" s="6">
        <v>100</v>
      </c>
      <c r="S72" s="6">
        <v>100</v>
      </c>
      <c r="T72" s="6">
        <v>0</v>
      </c>
      <c r="U72" s="3">
        <v>46280.25</v>
      </c>
      <c r="W72" t="s">
        <v>648</v>
      </c>
      <c r="X72" t="s">
        <v>70</v>
      </c>
      <c r="Y72" t="s">
        <v>23</v>
      </c>
      <c r="Z72" t="s">
        <v>69</v>
      </c>
      <c r="AA72" t="s">
        <v>69</v>
      </c>
      <c r="AB72" t="s">
        <v>67</v>
      </c>
      <c r="AC72" t="s">
        <v>70</v>
      </c>
      <c r="AD72" t="s">
        <v>316</v>
      </c>
      <c r="AE72" t="s">
        <v>102</v>
      </c>
      <c r="AF72" t="s">
        <v>67</v>
      </c>
      <c r="AH72" t="b">
        <v>1</v>
      </c>
      <c r="AI72" t="b">
        <v>1</v>
      </c>
      <c r="AJ72" t="b">
        <v>0</v>
      </c>
      <c r="AK72" t="b">
        <v>1</v>
      </c>
      <c r="AL72" s="6">
        <v>0</v>
      </c>
      <c r="AM72" s="3">
        <v>45771.479166666657</v>
      </c>
      <c r="AN72">
        <v>1</v>
      </c>
      <c r="AO72" s="3"/>
      <c r="AT72" t="b">
        <v>0</v>
      </c>
      <c r="AU72" t="s">
        <v>74</v>
      </c>
      <c r="AV72" t="b">
        <v>1</v>
      </c>
      <c r="AW72" t="b">
        <v>0</v>
      </c>
      <c r="AX72" s="5">
        <v>0</v>
      </c>
      <c r="AY72" s="3"/>
      <c r="AZ72" t="s">
        <v>67</v>
      </c>
      <c r="BA72" t="s">
        <v>67</v>
      </c>
      <c r="BB72" t="s">
        <v>317</v>
      </c>
    </row>
    <row r="73" spans="1:54" x14ac:dyDescent="0.3">
      <c r="A73">
        <v>1</v>
      </c>
      <c r="B73">
        <v>15</v>
      </c>
      <c r="C73" t="s">
        <v>54</v>
      </c>
      <c r="D73" s="3">
        <v>45735.680567129632</v>
      </c>
      <c r="E73" s="8">
        <v>45735</v>
      </c>
      <c r="F73" t="s">
        <v>649</v>
      </c>
      <c r="G73" t="s">
        <v>307</v>
      </c>
      <c r="H73" t="s">
        <v>650</v>
      </c>
      <c r="I73" t="s">
        <v>651</v>
      </c>
      <c r="J73" t="s">
        <v>593</v>
      </c>
      <c r="K73" t="s">
        <v>652</v>
      </c>
      <c r="L73" t="s">
        <v>595</v>
      </c>
      <c r="M73" t="s">
        <v>312</v>
      </c>
      <c r="N73" t="s">
        <v>312</v>
      </c>
      <c r="O73" t="s">
        <v>313</v>
      </c>
      <c r="P73" t="s">
        <v>314</v>
      </c>
      <c r="Q73" s="5">
        <v>1</v>
      </c>
      <c r="R73" s="6">
        <v>100</v>
      </c>
      <c r="S73" s="6">
        <v>100</v>
      </c>
      <c r="T73" s="6">
        <v>0</v>
      </c>
      <c r="U73" s="3">
        <v>45919.458333333343</v>
      </c>
      <c r="W73" t="s">
        <v>653</v>
      </c>
      <c r="X73" t="s">
        <v>70</v>
      </c>
      <c r="Y73" t="s">
        <v>23</v>
      </c>
      <c r="Z73" t="s">
        <v>69</v>
      </c>
      <c r="AA73" t="s">
        <v>69</v>
      </c>
      <c r="AB73" t="s">
        <v>67</v>
      </c>
      <c r="AC73" t="s">
        <v>70</v>
      </c>
      <c r="AD73" t="s">
        <v>316</v>
      </c>
      <c r="AE73" t="s">
        <v>102</v>
      </c>
      <c r="AF73" t="s">
        <v>67</v>
      </c>
      <c r="AH73" t="b">
        <v>1</v>
      </c>
      <c r="AI73" t="b">
        <v>1</v>
      </c>
      <c r="AJ73" t="b">
        <v>0</v>
      </c>
      <c r="AK73" t="b">
        <v>1</v>
      </c>
      <c r="AL73" s="6">
        <v>0</v>
      </c>
      <c r="AM73" s="3">
        <v>45919.458333333343</v>
      </c>
      <c r="AN73">
        <v>1</v>
      </c>
      <c r="AO73" s="3"/>
      <c r="AT73" t="b">
        <v>0</v>
      </c>
      <c r="AU73" t="s">
        <v>74</v>
      </c>
      <c r="AV73" t="b">
        <v>1</v>
      </c>
      <c r="AW73" t="b">
        <v>0</v>
      </c>
      <c r="AX73" s="5">
        <v>0</v>
      </c>
      <c r="AY73" s="3"/>
      <c r="AZ73" t="s">
        <v>67</v>
      </c>
      <c r="BA73" t="s">
        <v>67</v>
      </c>
      <c r="BB73" t="s">
        <v>317</v>
      </c>
    </row>
    <row r="74" spans="1:54" x14ac:dyDescent="0.3">
      <c r="A74">
        <v>1</v>
      </c>
      <c r="B74">
        <v>15</v>
      </c>
      <c r="C74" t="s">
        <v>54</v>
      </c>
      <c r="D74" s="3">
        <v>45735.69290509259</v>
      </c>
      <c r="E74" s="8">
        <v>45735</v>
      </c>
      <c r="F74" t="s">
        <v>654</v>
      </c>
      <c r="G74" t="s">
        <v>307</v>
      </c>
      <c r="H74" t="s">
        <v>655</v>
      </c>
      <c r="I74" t="s">
        <v>656</v>
      </c>
      <c r="J74" t="s">
        <v>593</v>
      </c>
      <c r="K74" t="s">
        <v>629</v>
      </c>
      <c r="L74" t="s">
        <v>600</v>
      </c>
      <c r="M74" t="s">
        <v>312</v>
      </c>
      <c r="O74" t="s">
        <v>313</v>
      </c>
      <c r="P74" t="s">
        <v>314</v>
      </c>
      <c r="Q74" s="5">
        <v>1</v>
      </c>
      <c r="R74" s="6">
        <v>100</v>
      </c>
      <c r="S74" s="6">
        <v>100</v>
      </c>
      <c r="T74" s="6">
        <v>0</v>
      </c>
      <c r="U74" s="3">
        <v>45737.479166666657</v>
      </c>
      <c r="W74" t="s">
        <v>657</v>
      </c>
      <c r="X74" t="s">
        <v>70</v>
      </c>
      <c r="Y74" t="s">
        <v>23</v>
      </c>
      <c r="Z74" t="s">
        <v>69</v>
      </c>
      <c r="AA74" t="s">
        <v>69</v>
      </c>
      <c r="AB74" t="s">
        <v>67</v>
      </c>
      <c r="AC74" t="s">
        <v>70</v>
      </c>
      <c r="AD74" t="s">
        <v>316</v>
      </c>
      <c r="AE74" t="s">
        <v>102</v>
      </c>
      <c r="AF74" t="s">
        <v>67</v>
      </c>
      <c r="AH74" t="b">
        <v>1</v>
      </c>
      <c r="AI74" t="b">
        <v>0</v>
      </c>
      <c r="AJ74" t="b">
        <v>0</v>
      </c>
      <c r="AK74" t="b">
        <v>0</v>
      </c>
      <c r="AL74" s="6">
        <v>0</v>
      </c>
      <c r="AM74" s="3">
        <v>45737.479166666657</v>
      </c>
      <c r="AN74">
        <v>1</v>
      </c>
      <c r="AO74" s="3"/>
      <c r="AT74" t="b">
        <v>0</v>
      </c>
      <c r="AU74" t="s">
        <v>74</v>
      </c>
      <c r="AV74" t="b">
        <v>1</v>
      </c>
      <c r="AW74" t="b">
        <v>0</v>
      </c>
      <c r="AX74" s="5">
        <v>0</v>
      </c>
      <c r="AY74" s="3"/>
      <c r="AZ74" t="s">
        <v>67</v>
      </c>
      <c r="BA74" t="s">
        <v>67</v>
      </c>
      <c r="BB74" t="s">
        <v>317</v>
      </c>
    </row>
    <row r="75" spans="1:54" x14ac:dyDescent="0.3">
      <c r="A75">
        <v>1</v>
      </c>
      <c r="B75">
        <v>15</v>
      </c>
      <c r="C75" t="s">
        <v>54</v>
      </c>
      <c r="D75" s="3">
        <v>45735.712222222217</v>
      </c>
      <c r="E75" s="8">
        <v>45735</v>
      </c>
      <c r="F75" t="s">
        <v>658</v>
      </c>
      <c r="G75" t="s">
        <v>307</v>
      </c>
      <c r="H75" t="s">
        <v>659</v>
      </c>
      <c r="I75" t="s">
        <v>660</v>
      </c>
      <c r="J75" t="s">
        <v>593</v>
      </c>
      <c r="K75" t="s">
        <v>661</v>
      </c>
      <c r="L75" t="s">
        <v>600</v>
      </c>
      <c r="M75" t="s">
        <v>312</v>
      </c>
      <c r="N75" t="s">
        <v>312</v>
      </c>
      <c r="O75" t="s">
        <v>313</v>
      </c>
      <c r="P75" t="s">
        <v>314</v>
      </c>
      <c r="Q75" s="5">
        <v>3</v>
      </c>
      <c r="R75" s="6">
        <v>100</v>
      </c>
      <c r="S75" s="6">
        <v>300</v>
      </c>
      <c r="T75" s="6">
        <v>0</v>
      </c>
      <c r="U75" s="3">
        <v>45945.458333333343</v>
      </c>
      <c r="W75" t="s">
        <v>662</v>
      </c>
      <c r="X75" t="s">
        <v>70</v>
      </c>
      <c r="Y75" t="s">
        <v>23</v>
      </c>
      <c r="Z75" t="s">
        <v>69</v>
      </c>
      <c r="AA75" t="s">
        <v>69</v>
      </c>
      <c r="AB75" t="s">
        <v>67</v>
      </c>
      <c r="AC75" t="s">
        <v>70</v>
      </c>
      <c r="AD75" t="s">
        <v>316</v>
      </c>
      <c r="AE75" t="s">
        <v>102</v>
      </c>
      <c r="AF75" t="s">
        <v>67</v>
      </c>
      <c r="AH75" t="b">
        <v>1</v>
      </c>
      <c r="AI75" t="b">
        <v>0</v>
      </c>
      <c r="AJ75" t="b">
        <v>0</v>
      </c>
      <c r="AK75" t="b">
        <v>0</v>
      </c>
      <c r="AL75" s="6">
        <v>0</v>
      </c>
      <c r="AM75" s="3">
        <v>45945.458333333343</v>
      </c>
      <c r="AN75">
        <v>1</v>
      </c>
      <c r="AO75" s="3"/>
      <c r="AT75" t="b">
        <v>0</v>
      </c>
      <c r="AU75" t="s">
        <v>74</v>
      </c>
      <c r="AV75" t="b">
        <v>1</v>
      </c>
      <c r="AW75" t="b">
        <v>0</v>
      </c>
      <c r="AX75" s="5">
        <v>0</v>
      </c>
      <c r="AY75" s="3"/>
      <c r="AZ75" t="s">
        <v>67</v>
      </c>
      <c r="BA75" t="s">
        <v>67</v>
      </c>
      <c r="BB75" t="s">
        <v>317</v>
      </c>
    </row>
    <row r="76" spans="1:54" x14ac:dyDescent="0.3">
      <c r="A76">
        <v>1</v>
      </c>
      <c r="B76">
        <v>15</v>
      </c>
      <c r="C76" t="s">
        <v>54</v>
      </c>
      <c r="D76" s="3">
        <v>45735.725706018522</v>
      </c>
      <c r="E76" s="8">
        <v>45735</v>
      </c>
      <c r="F76" t="s">
        <v>663</v>
      </c>
      <c r="G76" t="s">
        <v>307</v>
      </c>
      <c r="H76" t="s">
        <v>664</v>
      </c>
      <c r="I76" t="s">
        <v>665</v>
      </c>
      <c r="J76" t="s">
        <v>593</v>
      </c>
      <c r="K76" t="s">
        <v>634</v>
      </c>
      <c r="L76" t="s">
        <v>600</v>
      </c>
      <c r="M76" t="s">
        <v>312</v>
      </c>
      <c r="N76" t="s">
        <v>312</v>
      </c>
      <c r="O76" t="s">
        <v>313</v>
      </c>
      <c r="P76" t="s">
        <v>314</v>
      </c>
      <c r="Q76" s="5">
        <v>3</v>
      </c>
      <c r="R76" s="6">
        <v>100</v>
      </c>
      <c r="S76" s="6">
        <v>300</v>
      </c>
      <c r="T76" s="6">
        <v>0</v>
      </c>
      <c r="U76" s="3">
        <v>45800.479166666657</v>
      </c>
      <c r="W76" t="s">
        <v>666</v>
      </c>
      <c r="X76" t="s">
        <v>70</v>
      </c>
      <c r="Y76" t="s">
        <v>23</v>
      </c>
      <c r="Z76" t="s">
        <v>69</v>
      </c>
      <c r="AA76" t="s">
        <v>69</v>
      </c>
      <c r="AB76" t="s">
        <v>67</v>
      </c>
      <c r="AC76" t="s">
        <v>70</v>
      </c>
      <c r="AD76" t="s">
        <v>316</v>
      </c>
      <c r="AE76" t="s">
        <v>102</v>
      </c>
      <c r="AF76" t="s">
        <v>67</v>
      </c>
      <c r="AH76" t="b">
        <v>1</v>
      </c>
      <c r="AI76" t="b">
        <v>1</v>
      </c>
      <c r="AJ76" t="b">
        <v>0</v>
      </c>
      <c r="AK76" t="b">
        <v>1</v>
      </c>
      <c r="AL76" s="6">
        <v>0</v>
      </c>
      <c r="AM76" s="3">
        <v>45800.479166666657</v>
      </c>
      <c r="AN76">
        <v>1</v>
      </c>
      <c r="AO76" s="3"/>
      <c r="AT76" t="b">
        <v>0</v>
      </c>
      <c r="AU76" t="s">
        <v>74</v>
      </c>
      <c r="AV76" t="b">
        <v>1</v>
      </c>
      <c r="AW76" t="b">
        <v>0</v>
      </c>
      <c r="AX76" s="5">
        <v>0</v>
      </c>
      <c r="AY76" s="3"/>
      <c r="AZ76" t="s">
        <v>67</v>
      </c>
      <c r="BA76" t="s">
        <v>67</v>
      </c>
      <c r="BB76" t="s">
        <v>317</v>
      </c>
    </row>
    <row r="77" spans="1:54" x14ac:dyDescent="0.3">
      <c r="A77">
        <v>1</v>
      </c>
      <c r="B77">
        <v>15</v>
      </c>
      <c r="C77" t="s">
        <v>54</v>
      </c>
      <c r="D77" s="3">
        <v>45737.460613425923</v>
      </c>
      <c r="E77" s="8">
        <v>45737</v>
      </c>
      <c r="F77" t="s">
        <v>667</v>
      </c>
      <c r="G77" t="s">
        <v>307</v>
      </c>
      <c r="H77" t="s">
        <v>668</v>
      </c>
      <c r="I77" t="s">
        <v>669</v>
      </c>
      <c r="J77" t="s">
        <v>593</v>
      </c>
      <c r="K77" t="s">
        <v>670</v>
      </c>
      <c r="L77" t="s">
        <v>595</v>
      </c>
      <c r="M77" t="s">
        <v>312</v>
      </c>
      <c r="N77" t="s">
        <v>312</v>
      </c>
      <c r="O77" t="s">
        <v>313</v>
      </c>
      <c r="P77" t="s">
        <v>314</v>
      </c>
      <c r="Q77" s="5">
        <v>1</v>
      </c>
      <c r="R77" s="6">
        <v>100</v>
      </c>
      <c r="S77" s="6">
        <v>100</v>
      </c>
      <c r="T77" s="6">
        <v>0</v>
      </c>
      <c r="U77" s="3">
        <v>45772.25</v>
      </c>
      <c r="W77" t="s">
        <v>671</v>
      </c>
      <c r="X77" t="s">
        <v>70</v>
      </c>
      <c r="Y77" t="s">
        <v>23</v>
      </c>
      <c r="Z77" t="s">
        <v>69</v>
      </c>
      <c r="AA77" t="s">
        <v>69</v>
      </c>
      <c r="AB77" t="s">
        <v>67</v>
      </c>
      <c r="AC77" t="s">
        <v>70</v>
      </c>
      <c r="AD77" t="s">
        <v>316</v>
      </c>
      <c r="AE77" t="s">
        <v>102</v>
      </c>
      <c r="AF77" t="s">
        <v>67</v>
      </c>
      <c r="AH77" t="b">
        <v>0</v>
      </c>
      <c r="AI77" t="b">
        <v>0</v>
      </c>
      <c r="AJ77" t="b">
        <v>0</v>
      </c>
      <c r="AK77" t="b">
        <v>0</v>
      </c>
      <c r="AL77" s="6">
        <v>0</v>
      </c>
      <c r="AM77" s="3">
        <v>45772.25</v>
      </c>
      <c r="AN77">
        <v>1</v>
      </c>
      <c r="AO77" s="3"/>
      <c r="AT77" t="b">
        <v>0</v>
      </c>
      <c r="AU77" t="s">
        <v>74</v>
      </c>
      <c r="AV77" t="b">
        <v>1</v>
      </c>
      <c r="AW77" t="b">
        <v>0</v>
      </c>
      <c r="AX77" s="5">
        <v>0</v>
      </c>
      <c r="AY77" s="3"/>
      <c r="AZ77" t="s">
        <v>67</v>
      </c>
      <c r="BA77" t="s">
        <v>67</v>
      </c>
      <c r="BB77" t="s">
        <v>317</v>
      </c>
    </row>
    <row r="78" spans="1:54" x14ac:dyDescent="0.3">
      <c r="A78">
        <v>1</v>
      </c>
      <c r="B78">
        <v>15</v>
      </c>
      <c r="C78" t="s">
        <v>54</v>
      </c>
      <c r="D78" s="3">
        <v>45737.658379629633</v>
      </c>
      <c r="E78" s="8">
        <v>45737</v>
      </c>
      <c r="F78" t="s">
        <v>672</v>
      </c>
      <c r="G78" t="s">
        <v>307</v>
      </c>
      <c r="H78" t="s">
        <v>673</v>
      </c>
      <c r="I78" t="s">
        <v>674</v>
      </c>
      <c r="J78" t="s">
        <v>593</v>
      </c>
      <c r="L78" t="s">
        <v>595</v>
      </c>
      <c r="M78" t="s">
        <v>312</v>
      </c>
      <c r="O78" t="s">
        <v>313</v>
      </c>
      <c r="P78" t="s">
        <v>314</v>
      </c>
      <c r="Q78" s="5">
        <v>1</v>
      </c>
      <c r="R78" s="6">
        <v>100</v>
      </c>
      <c r="S78" s="6">
        <v>100</v>
      </c>
      <c r="T78" s="6">
        <v>0</v>
      </c>
      <c r="U78" s="3">
        <v>46344.458333333343</v>
      </c>
      <c r="W78" t="s">
        <v>675</v>
      </c>
      <c r="X78" t="s">
        <v>70</v>
      </c>
      <c r="Y78" t="s">
        <v>23</v>
      </c>
      <c r="Z78" t="s">
        <v>69</v>
      </c>
      <c r="AA78" t="s">
        <v>69</v>
      </c>
      <c r="AB78" t="s">
        <v>67</v>
      </c>
      <c r="AC78" t="s">
        <v>70</v>
      </c>
      <c r="AD78" t="s">
        <v>316</v>
      </c>
      <c r="AE78" t="s">
        <v>102</v>
      </c>
      <c r="AF78" t="s">
        <v>67</v>
      </c>
      <c r="AH78" t="b">
        <v>1</v>
      </c>
      <c r="AI78" t="b">
        <v>0</v>
      </c>
      <c r="AJ78" t="b">
        <v>0</v>
      </c>
      <c r="AK78" t="b">
        <v>1</v>
      </c>
      <c r="AL78" s="6">
        <v>0</v>
      </c>
      <c r="AM78" s="3">
        <v>46191.215277777781</v>
      </c>
      <c r="AN78">
        <v>1</v>
      </c>
      <c r="AO78" s="3"/>
      <c r="AT78" t="b">
        <v>0</v>
      </c>
      <c r="AU78" t="s">
        <v>74</v>
      </c>
      <c r="AV78" t="b">
        <v>1</v>
      </c>
      <c r="AW78" t="b">
        <v>0</v>
      </c>
      <c r="AX78" s="5">
        <v>0</v>
      </c>
      <c r="AY78" s="3"/>
      <c r="AZ78" t="s">
        <v>67</v>
      </c>
      <c r="BA78" t="s">
        <v>67</v>
      </c>
      <c r="BB78" t="s">
        <v>317</v>
      </c>
    </row>
    <row r="79" spans="1:54" x14ac:dyDescent="0.3">
      <c r="A79">
        <v>1</v>
      </c>
      <c r="B79">
        <v>15</v>
      </c>
      <c r="C79" t="s">
        <v>54</v>
      </c>
      <c r="D79" s="3">
        <v>45770.654247685183</v>
      </c>
      <c r="E79" s="8">
        <v>45799</v>
      </c>
      <c r="F79" t="s">
        <v>676</v>
      </c>
      <c r="G79" t="s">
        <v>307</v>
      </c>
      <c r="H79" t="s">
        <v>677</v>
      </c>
      <c r="I79" t="s">
        <v>678</v>
      </c>
      <c r="J79" t="s">
        <v>593</v>
      </c>
      <c r="K79" t="s">
        <v>679</v>
      </c>
      <c r="L79" t="s">
        <v>595</v>
      </c>
      <c r="M79" t="s">
        <v>312</v>
      </c>
      <c r="N79" t="s">
        <v>312</v>
      </c>
      <c r="O79" t="s">
        <v>313</v>
      </c>
      <c r="P79" t="s">
        <v>314</v>
      </c>
      <c r="Q79" s="5">
        <v>1</v>
      </c>
      <c r="R79" s="6">
        <v>100</v>
      </c>
      <c r="S79" s="6">
        <v>100</v>
      </c>
      <c r="T79" s="6">
        <v>0</v>
      </c>
      <c r="U79" s="3">
        <v>45800.229166666657</v>
      </c>
      <c r="W79" t="s">
        <v>680</v>
      </c>
      <c r="X79" t="s">
        <v>70</v>
      </c>
      <c r="Y79" t="s">
        <v>23</v>
      </c>
      <c r="Z79" t="s">
        <v>69</v>
      </c>
      <c r="AA79" t="s">
        <v>69</v>
      </c>
      <c r="AB79" t="s">
        <v>67</v>
      </c>
      <c r="AC79" t="s">
        <v>70</v>
      </c>
      <c r="AD79" t="s">
        <v>316</v>
      </c>
      <c r="AE79" t="s">
        <v>102</v>
      </c>
      <c r="AF79" t="s">
        <v>67</v>
      </c>
      <c r="AH79" t="b">
        <v>1</v>
      </c>
      <c r="AI79" t="b">
        <v>1</v>
      </c>
      <c r="AJ79" t="b">
        <v>0</v>
      </c>
      <c r="AK79" t="b">
        <v>1</v>
      </c>
      <c r="AL79" s="6">
        <v>0</v>
      </c>
      <c r="AM79" s="3">
        <v>45800.229166666657</v>
      </c>
      <c r="AN79">
        <v>1</v>
      </c>
      <c r="AO79" s="3"/>
      <c r="AT79" t="b">
        <v>0</v>
      </c>
      <c r="AU79" t="s">
        <v>74</v>
      </c>
      <c r="AV79" t="b">
        <v>1</v>
      </c>
      <c r="AW79" t="b">
        <v>0</v>
      </c>
      <c r="AX79" s="5">
        <v>0</v>
      </c>
      <c r="AY79" s="3"/>
      <c r="AZ79" t="s">
        <v>67</v>
      </c>
      <c r="BA79" t="s">
        <v>67</v>
      </c>
      <c r="BB79" t="s">
        <v>317</v>
      </c>
    </row>
    <row r="80" spans="1:54" x14ac:dyDescent="0.3">
      <c r="A80">
        <v>1</v>
      </c>
      <c r="B80">
        <v>15</v>
      </c>
      <c r="C80" t="s">
        <v>54</v>
      </c>
      <c r="D80" s="3">
        <v>45770.686851851853</v>
      </c>
      <c r="E80" s="8">
        <v>45770</v>
      </c>
      <c r="F80" t="s">
        <v>681</v>
      </c>
      <c r="G80" t="s">
        <v>307</v>
      </c>
      <c r="H80" t="s">
        <v>682</v>
      </c>
      <c r="I80" t="s">
        <v>683</v>
      </c>
      <c r="J80" t="s">
        <v>593</v>
      </c>
      <c r="K80" t="s">
        <v>684</v>
      </c>
      <c r="L80" t="s">
        <v>595</v>
      </c>
      <c r="M80" t="s">
        <v>312</v>
      </c>
      <c r="N80" t="s">
        <v>312</v>
      </c>
      <c r="O80" t="s">
        <v>313</v>
      </c>
      <c r="P80" t="s">
        <v>314</v>
      </c>
      <c r="Q80" s="5">
        <v>1</v>
      </c>
      <c r="R80" s="6">
        <v>100</v>
      </c>
      <c r="S80" s="6">
        <v>100</v>
      </c>
      <c r="T80" s="6">
        <v>0</v>
      </c>
      <c r="U80" s="3">
        <v>45772.25</v>
      </c>
      <c r="W80" t="s">
        <v>685</v>
      </c>
      <c r="X80" t="s">
        <v>70</v>
      </c>
      <c r="Y80" t="s">
        <v>23</v>
      </c>
      <c r="Z80" t="s">
        <v>69</v>
      </c>
      <c r="AA80" t="s">
        <v>69</v>
      </c>
      <c r="AB80" t="s">
        <v>67</v>
      </c>
      <c r="AC80" t="s">
        <v>70</v>
      </c>
      <c r="AD80" t="s">
        <v>316</v>
      </c>
      <c r="AE80" t="s">
        <v>102</v>
      </c>
      <c r="AF80" t="s">
        <v>67</v>
      </c>
      <c r="AH80" t="b">
        <v>1</v>
      </c>
      <c r="AI80" t="b">
        <v>1</v>
      </c>
      <c r="AJ80" t="b">
        <v>0</v>
      </c>
      <c r="AK80" t="b">
        <v>1</v>
      </c>
      <c r="AL80" s="6">
        <v>0</v>
      </c>
      <c r="AM80" s="3">
        <v>45772.25</v>
      </c>
      <c r="AN80">
        <v>1</v>
      </c>
      <c r="AO80" s="3"/>
      <c r="AT80" t="b">
        <v>0</v>
      </c>
      <c r="AU80" t="s">
        <v>74</v>
      </c>
      <c r="AV80" t="b">
        <v>1</v>
      </c>
      <c r="AW80" t="b">
        <v>0</v>
      </c>
      <c r="AX80" s="5">
        <v>0</v>
      </c>
      <c r="AY80" s="3"/>
      <c r="AZ80" t="s">
        <v>67</v>
      </c>
      <c r="BA80" t="s">
        <v>67</v>
      </c>
      <c r="BB80" t="s">
        <v>317</v>
      </c>
    </row>
    <row r="81" spans="1:54" x14ac:dyDescent="0.3">
      <c r="A81">
        <v>1</v>
      </c>
      <c r="B81">
        <v>15</v>
      </c>
      <c r="C81" t="s">
        <v>54</v>
      </c>
      <c r="D81" s="3">
        <v>45770.722233796303</v>
      </c>
      <c r="E81" s="8">
        <v>45799</v>
      </c>
      <c r="F81" t="s">
        <v>686</v>
      </c>
      <c r="G81" t="s">
        <v>307</v>
      </c>
      <c r="H81" t="s">
        <v>687</v>
      </c>
      <c r="I81" t="s">
        <v>688</v>
      </c>
      <c r="J81" t="s">
        <v>593</v>
      </c>
      <c r="K81" t="s">
        <v>689</v>
      </c>
      <c r="L81" t="s">
        <v>595</v>
      </c>
      <c r="M81" t="s">
        <v>312</v>
      </c>
      <c r="O81" t="s">
        <v>313</v>
      </c>
      <c r="P81" t="s">
        <v>314</v>
      </c>
      <c r="Q81" s="5">
        <v>1</v>
      </c>
      <c r="R81" s="6">
        <v>100</v>
      </c>
      <c r="S81" s="6">
        <v>100</v>
      </c>
      <c r="T81" s="6">
        <v>0</v>
      </c>
      <c r="U81" s="3">
        <v>46137.4375</v>
      </c>
      <c r="W81" t="s">
        <v>690</v>
      </c>
      <c r="X81" t="s">
        <v>70</v>
      </c>
      <c r="Y81" t="s">
        <v>23</v>
      </c>
      <c r="Z81" t="s">
        <v>69</v>
      </c>
      <c r="AA81" t="s">
        <v>69</v>
      </c>
      <c r="AB81" t="s">
        <v>67</v>
      </c>
      <c r="AC81" t="s">
        <v>70</v>
      </c>
      <c r="AD81" t="s">
        <v>316</v>
      </c>
      <c r="AE81" t="s">
        <v>102</v>
      </c>
      <c r="AF81" t="s">
        <v>67</v>
      </c>
      <c r="AH81" t="b">
        <v>0</v>
      </c>
      <c r="AI81" t="b">
        <v>0</v>
      </c>
      <c r="AJ81" t="b">
        <v>0</v>
      </c>
      <c r="AK81" t="b">
        <v>0</v>
      </c>
      <c r="AL81" s="6">
        <v>0</v>
      </c>
      <c r="AM81" s="3">
        <v>46137.4375</v>
      </c>
      <c r="AN81">
        <v>1</v>
      </c>
      <c r="AO81" s="3"/>
      <c r="AT81" t="b">
        <v>0</v>
      </c>
      <c r="AU81" t="s">
        <v>74</v>
      </c>
      <c r="AV81" t="b">
        <v>1</v>
      </c>
      <c r="AW81" t="b">
        <v>0</v>
      </c>
      <c r="AX81" s="5">
        <v>0</v>
      </c>
      <c r="AY81" s="3"/>
      <c r="AZ81" t="s">
        <v>67</v>
      </c>
      <c r="BA81" t="s">
        <v>67</v>
      </c>
      <c r="BB81" t="s">
        <v>317</v>
      </c>
    </row>
    <row r="82" spans="1:54" x14ac:dyDescent="0.3">
      <c r="A82">
        <v>1</v>
      </c>
      <c r="B82">
        <v>15</v>
      </c>
      <c r="C82" t="s">
        <v>54</v>
      </c>
      <c r="D82" s="3">
        <v>45771.646898148138</v>
      </c>
      <c r="E82" s="8">
        <v>45771</v>
      </c>
      <c r="F82" t="s">
        <v>691</v>
      </c>
      <c r="G82" t="s">
        <v>307</v>
      </c>
      <c r="H82" t="s">
        <v>692</v>
      </c>
      <c r="I82" t="s">
        <v>693</v>
      </c>
      <c r="J82" t="s">
        <v>593</v>
      </c>
      <c r="K82" t="s">
        <v>694</v>
      </c>
      <c r="L82" t="s">
        <v>595</v>
      </c>
      <c r="M82" t="s">
        <v>312</v>
      </c>
      <c r="N82" t="s">
        <v>312</v>
      </c>
      <c r="O82" t="s">
        <v>313</v>
      </c>
      <c r="P82" t="s">
        <v>314</v>
      </c>
      <c r="Q82" s="5">
        <v>1</v>
      </c>
      <c r="R82" s="6">
        <v>100</v>
      </c>
      <c r="S82" s="6">
        <v>100</v>
      </c>
      <c r="T82" s="6">
        <v>0</v>
      </c>
      <c r="U82" s="3">
        <v>45819.479166666657</v>
      </c>
      <c r="W82" t="s">
        <v>695</v>
      </c>
      <c r="X82" t="s">
        <v>70</v>
      </c>
      <c r="Y82" t="s">
        <v>23</v>
      </c>
      <c r="Z82" t="s">
        <v>69</v>
      </c>
      <c r="AA82" t="s">
        <v>69</v>
      </c>
      <c r="AB82" t="s">
        <v>67</v>
      </c>
      <c r="AC82" t="s">
        <v>70</v>
      </c>
      <c r="AD82" t="s">
        <v>316</v>
      </c>
      <c r="AE82" t="s">
        <v>102</v>
      </c>
      <c r="AF82" t="s">
        <v>67</v>
      </c>
      <c r="AH82" t="b">
        <v>1</v>
      </c>
      <c r="AI82" t="b">
        <v>1</v>
      </c>
      <c r="AJ82" t="b">
        <v>0</v>
      </c>
      <c r="AK82" t="b">
        <v>1</v>
      </c>
      <c r="AL82" s="6">
        <v>0</v>
      </c>
      <c r="AM82" s="3">
        <v>45771.5</v>
      </c>
      <c r="AN82">
        <v>1</v>
      </c>
      <c r="AO82" s="3"/>
      <c r="AT82" t="b">
        <v>0</v>
      </c>
      <c r="AU82" t="s">
        <v>74</v>
      </c>
      <c r="AV82" t="b">
        <v>1</v>
      </c>
      <c r="AW82" t="b">
        <v>0</v>
      </c>
      <c r="AX82" s="5">
        <v>0</v>
      </c>
      <c r="AY82" s="3"/>
      <c r="AZ82" t="s">
        <v>67</v>
      </c>
      <c r="BA82" t="s">
        <v>67</v>
      </c>
      <c r="BB82" t="s">
        <v>317</v>
      </c>
    </row>
    <row r="83" spans="1:54" x14ac:dyDescent="0.3">
      <c r="A83">
        <v>1</v>
      </c>
      <c r="B83">
        <v>15</v>
      </c>
      <c r="C83" t="s">
        <v>54</v>
      </c>
      <c r="D83" s="3">
        <v>45791.679120370369</v>
      </c>
      <c r="E83" s="8">
        <v>45817</v>
      </c>
      <c r="F83" t="s">
        <v>696</v>
      </c>
      <c r="G83" t="s">
        <v>307</v>
      </c>
      <c r="H83" t="s">
        <v>697</v>
      </c>
      <c r="I83" t="s">
        <v>698</v>
      </c>
      <c r="J83" t="s">
        <v>59</v>
      </c>
      <c r="K83" t="s">
        <v>260</v>
      </c>
      <c r="L83" t="s">
        <v>699</v>
      </c>
      <c r="M83" t="s">
        <v>62</v>
      </c>
      <c r="O83" t="s">
        <v>121</v>
      </c>
      <c r="P83" t="s">
        <v>122</v>
      </c>
      <c r="Q83" s="5">
        <v>4</v>
      </c>
      <c r="R83" s="6">
        <v>53</v>
      </c>
      <c r="S83" s="6">
        <v>212</v>
      </c>
      <c r="T83" s="6">
        <v>132</v>
      </c>
      <c r="U83" s="3">
        <v>46252.333333333343</v>
      </c>
      <c r="W83" t="s">
        <v>700</v>
      </c>
      <c r="X83" t="s">
        <v>70</v>
      </c>
      <c r="Y83" t="s">
        <v>23</v>
      </c>
      <c r="Z83" t="s">
        <v>69</v>
      </c>
      <c r="AA83" t="s">
        <v>69</v>
      </c>
      <c r="AB83" t="s">
        <v>67</v>
      </c>
      <c r="AC83" t="s">
        <v>70</v>
      </c>
      <c r="AD83" t="s">
        <v>71</v>
      </c>
      <c r="AF83" t="s">
        <v>67</v>
      </c>
      <c r="AH83" t="b">
        <v>0</v>
      </c>
      <c r="AI83" t="b">
        <v>1</v>
      </c>
      <c r="AJ83" t="b">
        <v>1</v>
      </c>
      <c r="AK83" t="b">
        <v>1</v>
      </c>
      <c r="AL83" s="6">
        <v>33</v>
      </c>
      <c r="AM83" s="3">
        <v>46252.333333333343</v>
      </c>
      <c r="AN83">
        <v>1</v>
      </c>
      <c r="AO83" s="3"/>
      <c r="AT83" t="b">
        <v>0</v>
      </c>
      <c r="AU83" t="s">
        <v>74</v>
      </c>
      <c r="AV83" t="b">
        <v>1</v>
      </c>
      <c r="AW83" t="b">
        <v>0</v>
      </c>
      <c r="AX83" s="5">
        <v>0</v>
      </c>
      <c r="AY83" s="3"/>
      <c r="AZ83" t="s">
        <v>67</v>
      </c>
      <c r="BA83" t="s">
        <v>67</v>
      </c>
      <c r="BB83" t="s">
        <v>317</v>
      </c>
    </row>
    <row r="84" spans="1:54" x14ac:dyDescent="0.3">
      <c r="A84">
        <v>1</v>
      </c>
      <c r="B84">
        <v>15</v>
      </c>
      <c r="C84" t="s">
        <v>54</v>
      </c>
      <c r="D84" s="3">
        <v>45798.471203703702</v>
      </c>
      <c r="E84" s="8">
        <v>45799</v>
      </c>
      <c r="F84" t="s">
        <v>701</v>
      </c>
      <c r="G84" t="s">
        <v>307</v>
      </c>
      <c r="H84" t="s">
        <v>702</v>
      </c>
      <c r="I84" t="s">
        <v>703</v>
      </c>
      <c r="J84" t="s">
        <v>593</v>
      </c>
      <c r="K84" t="s">
        <v>704</v>
      </c>
      <c r="L84" t="s">
        <v>595</v>
      </c>
      <c r="M84" t="s">
        <v>312</v>
      </c>
      <c r="N84" t="s">
        <v>312</v>
      </c>
      <c r="O84" t="s">
        <v>313</v>
      </c>
      <c r="P84" t="s">
        <v>314</v>
      </c>
      <c r="Q84" s="5">
        <v>1</v>
      </c>
      <c r="R84" s="6">
        <v>100</v>
      </c>
      <c r="S84" s="6">
        <v>100</v>
      </c>
      <c r="T84" s="6">
        <v>0</v>
      </c>
      <c r="U84" s="3">
        <v>46280.270833333343</v>
      </c>
      <c r="W84" t="s">
        <v>705</v>
      </c>
      <c r="X84" t="s">
        <v>70</v>
      </c>
      <c r="Y84" t="s">
        <v>23</v>
      </c>
      <c r="Z84" t="s">
        <v>69</v>
      </c>
      <c r="AA84" t="s">
        <v>69</v>
      </c>
      <c r="AB84" t="s">
        <v>67</v>
      </c>
      <c r="AC84" t="s">
        <v>70</v>
      </c>
      <c r="AD84" t="s">
        <v>316</v>
      </c>
      <c r="AE84" t="s">
        <v>102</v>
      </c>
      <c r="AF84" t="s">
        <v>67</v>
      </c>
      <c r="AH84" t="b">
        <v>0</v>
      </c>
      <c r="AI84" t="b">
        <v>0</v>
      </c>
      <c r="AJ84" t="b">
        <v>0</v>
      </c>
      <c r="AK84" t="b">
        <v>0</v>
      </c>
      <c r="AL84" s="6">
        <v>0</v>
      </c>
      <c r="AM84" s="3">
        <v>46073.458333333343</v>
      </c>
      <c r="AN84">
        <v>1</v>
      </c>
      <c r="AO84" s="3"/>
      <c r="AT84" t="b">
        <v>0</v>
      </c>
      <c r="AU84" t="s">
        <v>74</v>
      </c>
      <c r="AV84" t="b">
        <v>1</v>
      </c>
      <c r="AW84" t="b">
        <v>0</v>
      </c>
      <c r="AX84" s="5">
        <v>0</v>
      </c>
      <c r="AY84" s="3"/>
      <c r="AZ84" t="s">
        <v>67</v>
      </c>
      <c r="BA84" t="s">
        <v>67</v>
      </c>
      <c r="BB84" t="s">
        <v>317</v>
      </c>
    </row>
    <row r="85" spans="1:54" x14ac:dyDescent="0.3">
      <c r="A85">
        <v>1</v>
      </c>
      <c r="B85">
        <v>15</v>
      </c>
      <c r="C85" t="s">
        <v>54</v>
      </c>
      <c r="D85" s="3">
        <v>45798.473576388889</v>
      </c>
      <c r="E85" s="8">
        <v>45799</v>
      </c>
      <c r="F85" t="s">
        <v>706</v>
      </c>
      <c r="G85" t="s">
        <v>307</v>
      </c>
      <c r="H85" t="s">
        <v>707</v>
      </c>
      <c r="I85" t="s">
        <v>708</v>
      </c>
      <c r="J85" t="s">
        <v>593</v>
      </c>
      <c r="K85" t="s">
        <v>709</v>
      </c>
      <c r="L85" t="s">
        <v>595</v>
      </c>
      <c r="M85" t="s">
        <v>312</v>
      </c>
      <c r="N85" t="s">
        <v>312</v>
      </c>
      <c r="O85" t="s">
        <v>313</v>
      </c>
      <c r="P85" t="s">
        <v>314</v>
      </c>
      <c r="Q85" s="5">
        <v>1</v>
      </c>
      <c r="R85" s="6">
        <v>100</v>
      </c>
      <c r="S85" s="6">
        <v>100</v>
      </c>
      <c r="T85" s="6">
        <v>0</v>
      </c>
      <c r="U85" s="3">
        <v>45856.229166666657</v>
      </c>
      <c r="W85" t="s">
        <v>710</v>
      </c>
      <c r="X85" t="s">
        <v>70</v>
      </c>
      <c r="Y85" t="s">
        <v>23</v>
      </c>
      <c r="Z85" t="s">
        <v>69</v>
      </c>
      <c r="AA85" t="s">
        <v>69</v>
      </c>
      <c r="AB85" t="s">
        <v>70</v>
      </c>
      <c r="AC85" t="s">
        <v>70</v>
      </c>
      <c r="AD85" t="s">
        <v>316</v>
      </c>
      <c r="AE85" t="s">
        <v>102</v>
      </c>
      <c r="AF85" t="s">
        <v>67</v>
      </c>
      <c r="AH85" t="b">
        <v>0</v>
      </c>
      <c r="AI85" t="b">
        <v>0</v>
      </c>
      <c r="AJ85" t="b">
        <v>0</v>
      </c>
      <c r="AK85" t="b">
        <v>0</v>
      </c>
      <c r="AL85" s="6">
        <v>0</v>
      </c>
      <c r="AM85" s="3">
        <v>45856.229166666657</v>
      </c>
      <c r="AN85">
        <v>1</v>
      </c>
      <c r="AO85" s="3"/>
      <c r="AT85" t="b">
        <v>0</v>
      </c>
      <c r="AU85" t="s">
        <v>74</v>
      </c>
      <c r="AV85" t="b">
        <v>1</v>
      </c>
      <c r="AW85" t="b">
        <v>0</v>
      </c>
      <c r="AX85" s="5">
        <v>0</v>
      </c>
      <c r="AY85" s="3"/>
      <c r="AZ85" t="s">
        <v>67</v>
      </c>
      <c r="BA85" t="s">
        <v>67</v>
      </c>
      <c r="BB85" t="s">
        <v>317</v>
      </c>
    </row>
    <row r="86" spans="1:54" x14ac:dyDescent="0.3">
      <c r="A86">
        <v>1</v>
      </c>
      <c r="B86">
        <v>15</v>
      </c>
      <c r="C86" t="s">
        <v>54</v>
      </c>
      <c r="D86" s="3">
        <v>45798.486701388887</v>
      </c>
      <c r="E86" s="8">
        <v>45834</v>
      </c>
      <c r="F86" t="s">
        <v>711</v>
      </c>
      <c r="G86" t="s">
        <v>307</v>
      </c>
      <c r="H86" t="s">
        <v>712</v>
      </c>
      <c r="I86" t="s">
        <v>713</v>
      </c>
      <c r="J86" t="s">
        <v>593</v>
      </c>
      <c r="K86" t="s">
        <v>714</v>
      </c>
      <c r="L86" t="s">
        <v>595</v>
      </c>
      <c r="M86" t="s">
        <v>312</v>
      </c>
      <c r="N86" t="s">
        <v>312</v>
      </c>
      <c r="O86" t="s">
        <v>313</v>
      </c>
      <c r="P86" t="s">
        <v>314</v>
      </c>
      <c r="Q86" s="5">
        <v>1</v>
      </c>
      <c r="R86" s="6">
        <v>100</v>
      </c>
      <c r="S86" s="6">
        <v>100</v>
      </c>
      <c r="T86" s="6">
        <v>0</v>
      </c>
      <c r="U86" s="3">
        <v>45996.538194444453</v>
      </c>
      <c r="W86" t="s">
        <v>715</v>
      </c>
      <c r="X86" t="s">
        <v>70</v>
      </c>
      <c r="Y86" t="s">
        <v>23</v>
      </c>
      <c r="Z86" t="s">
        <v>69</v>
      </c>
      <c r="AA86" t="s">
        <v>69</v>
      </c>
      <c r="AB86" t="s">
        <v>67</v>
      </c>
      <c r="AC86" t="s">
        <v>67</v>
      </c>
      <c r="AD86" t="s">
        <v>316</v>
      </c>
      <c r="AE86" t="s">
        <v>102</v>
      </c>
      <c r="AF86" t="s">
        <v>67</v>
      </c>
      <c r="AH86" t="b">
        <v>1</v>
      </c>
      <c r="AI86" t="b">
        <v>1</v>
      </c>
      <c r="AJ86" t="b">
        <v>0</v>
      </c>
      <c r="AK86" t="b">
        <v>1</v>
      </c>
      <c r="AL86" s="6">
        <v>0</v>
      </c>
      <c r="AM86" s="3">
        <v>45953.25</v>
      </c>
      <c r="AN86">
        <v>1</v>
      </c>
      <c r="AO86" s="3"/>
      <c r="AT86" t="b">
        <v>0</v>
      </c>
      <c r="AU86" t="s">
        <v>74</v>
      </c>
      <c r="AV86" t="b">
        <v>1</v>
      </c>
      <c r="AW86" t="b">
        <v>0</v>
      </c>
      <c r="AX86" s="5">
        <v>0</v>
      </c>
      <c r="AY86" s="3"/>
      <c r="AZ86" t="s">
        <v>67</v>
      </c>
      <c r="BA86" t="s">
        <v>67</v>
      </c>
      <c r="BB86" t="s">
        <v>317</v>
      </c>
    </row>
    <row r="87" spans="1:54" x14ac:dyDescent="0.3">
      <c r="A87">
        <v>1</v>
      </c>
      <c r="B87">
        <v>15</v>
      </c>
      <c r="C87" t="s">
        <v>54</v>
      </c>
      <c r="D87" s="3">
        <v>45798.652256944442</v>
      </c>
      <c r="E87" s="8">
        <v>45833</v>
      </c>
      <c r="F87" t="s">
        <v>716</v>
      </c>
      <c r="G87" t="s">
        <v>307</v>
      </c>
      <c r="H87" t="s">
        <v>717</v>
      </c>
      <c r="I87" t="s">
        <v>718</v>
      </c>
      <c r="J87" t="s">
        <v>593</v>
      </c>
      <c r="L87" t="s">
        <v>595</v>
      </c>
      <c r="M87" t="s">
        <v>312</v>
      </c>
      <c r="N87" t="s">
        <v>312</v>
      </c>
      <c r="O87" t="s">
        <v>313</v>
      </c>
      <c r="P87" t="s">
        <v>314</v>
      </c>
      <c r="Q87" s="5">
        <v>2</v>
      </c>
      <c r="R87" s="6">
        <v>100</v>
      </c>
      <c r="S87" s="6">
        <v>200</v>
      </c>
      <c r="T87" s="6">
        <v>0</v>
      </c>
      <c r="U87" s="3">
        <v>46041.229166666657</v>
      </c>
      <c r="W87" t="s">
        <v>719</v>
      </c>
      <c r="X87" t="s">
        <v>70</v>
      </c>
      <c r="Y87" t="s">
        <v>23</v>
      </c>
      <c r="Z87" t="s">
        <v>69</v>
      </c>
      <c r="AA87" t="s">
        <v>69</v>
      </c>
      <c r="AB87" t="s">
        <v>67</v>
      </c>
      <c r="AC87" t="s">
        <v>70</v>
      </c>
      <c r="AD87" t="s">
        <v>316</v>
      </c>
      <c r="AE87" t="s">
        <v>102</v>
      </c>
      <c r="AF87" t="s">
        <v>67</v>
      </c>
      <c r="AH87" t="b">
        <v>1</v>
      </c>
      <c r="AI87" t="b">
        <v>0</v>
      </c>
      <c r="AJ87" t="b">
        <v>0</v>
      </c>
      <c r="AK87" t="b">
        <v>0</v>
      </c>
      <c r="AL87" s="6">
        <v>0</v>
      </c>
      <c r="AM87" s="3">
        <v>45854.229166666657</v>
      </c>
      <c r="AN87">
        <v>1</v>
      </c>
      <c r="AO87" s="3"/>
      <c r="AT87" t="b">
        <v>0</v>
      </c>
      <c r="AU87" t="s">
        <v>74</v>
      </c>
      <c r="AV87" t="b">
        <v>1</v>
      </c>
      <c r="AW87" t="b">
        <v>0</v>
      </c>
      <c r="AX87" s="5">
        <v>0</v>
      </c>
      <c r="AY87" s="3"/>
      <c r="AZ87" t="s">
        <v>67</v>
      </c>
      <c r="BA87" t="s">
        <v>67</v>
      </c>
      <c r="BB87" t="s">
        <v>317</v>
      </c>
    </row>
    <row r="88" spans="1:54" x14ac:dyDescent="0.3">
      <c r="A88">
        <v>1</v>
      </c>
      <c r="B88">
        <v>15</v>
      </c>
      <c r="C88" t="s">
        <v>54</v>
      </c>
      <c r="D88" s="3">
        <v>45799.386886574073</v>
      </c>
      <c r="E88" s="8">
        <v>45833</v>
      </c>
      <c r="F88" t="s">
        <v>720</v>
      </c>
      <c r="G88" t="s">
        <v>307</v>
      </c>
      <c r="H88" t="s">
        <v>721</v>
      </c>
      <c r="I88" t="s">
        <v>722</v>
      </c>
      <c r="J88" t="s">
        <v>593</v>
      </c>
      <c r="L88" t="s">
        <v>595</v>
      </c>
      <c r="M88" t="s">
        <v>312</v>
      </c>
      <c r="N88" t="s">
        <v>312</v>
      </c>
      <c r="O88" t="s">
        <v>313</v>
      </c>
      <c r="P88" t="s">
        <v>314</v>
      </c>
      <c r="Q88" s="5">
        <v>1</v>
      </c>
      <c r="R88" s="6">
        <v>100</v>
      </c>
      <c r="S88" s="6">
        <v>100</v>
      </c>
      <c r="T88" s="6">
        <v>0</v>
      </c>
      <c r="U88" s="3">
        <v>45841.32916666667</v>
      </c>
      <c r="W88" t="s">
        <v>723</v>
      </c>
      <c r="X88" t="s">
        <v>70</v>
      </c>
      <c r="Y88" t="s">
        <v>23</v>
      </c>
      <c r="Z88" t="s">
        <v>69</v>
      </c>
      <c r="AA88" t="s">
        <v>69</v>
      </c>
      <c r="AB88" t="s">
        <v>67</v>
      </c>
      <c r="AC88" t="s">
        <v>70</v>
      </c>
      <c r="AD88" t="s">
        <v>316</v>
      </c>
      <c r="AE88" t="s">
        <v>102</v>
      </c>
      <c r="AF88" t="s">
        <v>67</v>
      </c>
      <c r="AH88" t="b">
        <v>1</v>
      </c>
      <c r="AI88" t="b">
        <v>1</v>
      </c>
      <c r="AJ88" t="b">
        <v>0</v>
      </c>
      <c r="AK88" t="b">
        <v>1</v>
      </c>
      <c r="AL88" s="6">
        <v>0</v>
      </c>
      <c r="AM88" s="3">
        <v>45833.458333333343</v>
      </c>
      <c r="AN88">
        <v>1</v>
      </c>
      <c r="AO88" s="3"/>
      <c r="AT88" t="b">
        <v>0</v>
      </c>
      <c r="AU88" t="s">
        <v>74</v>
      </c>
      <c r="AV88" t="b">
        <v>1</v>
      </c>
      <c r="AW88" t="b">
        <v>0</v>
      </c>
      <c r="AX88" s="5">
        <v>0</v>
      </c>
      <c r="AY88" s="3"/>
      <c r="AZ88" t="s">
        <v>67</v>
      </c>
      <c r="BA88" t="s">
        <v>67</v>
      </c>
      <c r="BB88" t="s">
        <v>317</v>
      </c>
    </row>
    <row r="89" spans="1:54" x14ac:dyDescent="0.3">
      <c r="A89">
        <v>1</v>
      </c>
      <c r="B89">
        <v>15</v>
      </c>
      <c r="C89" t="s">
        <v>54</v>
      </c>
      <c r="D89" s="3">
        <v>45799.555324074077</v>
      </c>
      <c r="E89" s="8">
        <v>45799</v>
      </c>
      <c r="F89" t="s">
        <v>724</v>
      </c>
      <c r="G89" t="s">
        <v>307</v>
      </c>
      <c r="H89" t="s">
        <v>725</v>
      </c>
      <c r="I89" t="s">
        <v>726</v>
      </c>
      <c r="J89" t="s">
        <v>593</v>
      </c>
      <c r="K89" t="s">
        <v>684</v>
      </c>
      <c r="L89" t="s">
        <v>595</v>
      </c>
      <c r="M89" t="s">
        <v>312</v>
      </c>
      <c r="N89" t="s">
        <v>312</v>
      </c>
      <c r="O89" t="s">
        <v>313</v>
      </c>
      <c r="P89" t="s">
        <v>314</v>
      </c>
      <c r="Q89" s="5">
        <v>1</v>
      </c>
      <c r="R89" s="6">
        <v>100</v>
      </c>
      <c r="S89" s="6">
        <v>100</v>
      </c>
      <c r="T89" s="6">
        <v>0</v>
      </c>
      <c r="U89" s="3">
        <v>45856.21875</v>
      </c>
      <c r="W89" t="s">
        <v>727</v>
      </c>
      <c r="X89" t="s">
        <v>70</v>
      </c>
      <c r="Y89" t="s">
        <v>23</v>
      </c>
      <c r="Z89" t="s">
        <v>69</v>
      </c>
      <c r="AA89" t="s">
        <v>69</v>
      </c>
      <c r="AB89" t="s">
        <v>67</v>
      </c>
      <c r="AC89" t="s">
        <v>70</v>
      </c>
      <c r="AD89" t="s">
        <v>316</v>
      </c>
      <c r="AE89" t="s">
        <v>102</v>
      </c>
      <c r="AF89" t="s">
        <v>67</v>
      </c>
      <c r="AH89" t="b">
        <v>0</v>
      </c>
      <c r="AI89" t="b">
        <v>0</v>
      </c>
      <c r="AJ89" t="b">
        <v>0</v>
      </c>
      <c r="AK89" t="b">
        <v>0</v>
      </c>
      <c r="AL89" s="6">
        <v>0</v>
      </c>
      <c r="AM89" s="3">
        <v>45856.21875</v>
      </c>
      <c r="AN89">
        <v>1</v>
      </c>
      <c r="AO89" s="3"/>
      <c r="AT89" t="b">
        <v>0</v>
      </c>
      <c r="AU89" t="s">
        <v>74</v>
      </c>
      <c r="AV89" t="b">
        <v>1</v>
      </c>
      <c r="AW89" t="b">
        <v>0</v>
      </c>
      <c r="AX89" s="5">
        <v>0</v>
      </c>
      <c r="AY89" s="3"/>
      <c r="AZ89" t="s">
        <v>67</v>
      </c>
      <c r="BA89" t="s">
        <v>67</v>
      </c>
      <c r="BB89" t="s">
        <v>317</v>
      </c>
    </row>
    <row r="90" spans="1:54" x14ac:dyDescent="0.3">
      <c r="A90">
        <v>1</v>
      </c>
      <c r="B90">
        <v>15</v>
      </c>
      <c r="C90" t="s">
        <v>54</v>
      </c>
      <c r="D90" s="3">
        <v>45799.659722222219</v>
      </c>
      <c r="E90" s="8">
        <v>45834</v>
      </c>
      <c r="F90" t="s">
        <v>728</v>
      </c>
      <c r="G90" t="s">
        <v>307</v>
      </c>
      <c r="H90" t="s">
        <v>729</v>
      </c>
      <c r="I90" t="s">
        <v>730</v>
      </c>
      <c r="J90" t="s">
        <v>593</v>
      </c>
      <c r="K90" t="s">
        <v>731</v>
      </c>
      <c r="L90" t="s">
        <v>600</v>
      </c>
      <c r="M90" t="s">
        <v>312</v>
      </c>
      <c r="N90" t="s">
        <v>312</v>
      </c>
      <c r="O90" t="s">
        <v>313</v>
      </c>
      <c r="P90" t="s">
        <v>314</v>
      </c>
      <c r="Q90" s="5">
        <v>2</v>
      </c>
      <c r="R90" s="6">
        <v>100</v>
      </c>
      <c r="S90" s="6">
        <v>200</v>
      </c>
      <c r="T90" s="6">
        <v>0</v>
      </c>
      <c r="U90" s="3">
        <v>45933.277777777781</v>
      </c>
      <c r="W90" t="s">
        <v>732</v>
      </c>
      <c r="X90" t="s">
        <v>70</v>
      </c>
      <c r="Y90" t="s">
        <v>23</v>
      </c>
      <c r="Z90" t="s">
        <v>69</v>
      </c>
      <c r="AA90" t="s">
        <v>69</v>
      </c>
      <c r="AB90" t="s">
        <v>67</v>
      </c>
      <c r="AC90" t="s">
        <v>70</v>
      </c>
      <c r="AD90" t="s">
        <v>316</v>
      </c>
      <c r="AE90" t="s">
        <v>102</v>
      </c>
      <c r="AF90" t="s">
        <v>67</v>
      </c>
      <c r="AH90" t="b">
        <v>0</v>
      </c>
      <c r="AI90" t="b">
        <v>1</v>
      </c>
      <c r="AJ90" t="b">
        <v>0</v>
      </c>
      <c r="AK90" t="b">
        <v>1</v>
      </c>
      <c r="AL90" s="6">
        <v>0</v>
      </c>
      <c r="AM90" s="3">
        <v>45854.458333333343</v>
      </c>
      <c r="AN90">
        <v>1</v>
      </c>
      <c r="AO90" s="3"/>
      <c r="AT90" t="b">
        <v>0</v>
      </c>
      <c r="AU90" t="s">
        <v>74</v>
      </c>
      <c r="AV90" t="b">
        <v>1</v>
      </c>
      <c r="AW90" t="b">
        <v>0</v>
      </c>
      <c r="AX90" s="5">
        <v>0</v>
      </c>
      <c r="AY90" s="3"/>
      <c r="AZ90" t="s">
        <v>67</v>
      </c>
      <c r="BA90" t="s">
        <v>67</v>
      </c>
      <c r="BB90" t="s">
        <v>317</v>
      </c>
    </row>
    <row r="91" spans="1:54" x14ac:dyDescent="0.3">
      <c r="A91">
        <v>1</v>
      </c>
      <c r="B91">
        <v>15</v>
      </c>
      <c r="C91" t="s">
        <v>54</v>
      </c>
      <c r="D91" s="3">
        <v>45799.663402777784</v>
      </c>
      <c r="E91" s="8">
        <v>45799</v>
      </c>
      <c r="F91" t="s">
        <v>733</v>
      </c>
      <c r="G91" t="s">
        <v>307</v>
      </c>
      <c r="H91" t="s">
        <v>734</v>
      </c>
      <c r="I91" t="s">
        <v>735</v>
      </c>
      <c r="J91" t="s">
        <v>593</v>
      </c>
      <c r="K91" t="s">
        <v>709</v>
      </c>
      <c r="L91" t="s">
        <v>595</v>
      </c>
      <c r="M91" t="s">
        <v>312</v>
      </c>
      <c r="N91" t="s">
        <v>312</v>
      </c>
      <c r="O91" t="s">
        <v>313</v>
      </c>
      <c r="P91" t="s">
        <v>314</v>
      </c>
      <c r="Q91" s="5">
        <v>1</v>
      </c>
      <c r="R91" s="6">
        <v>100</v>
      </c>
      <c r="S91" s="6">
        <v>100</v>
      </c>
      <c r="T91" s="6">
        <v>0</v>
      </c>
      <c r="U91" s="3">
        <v>45854.479166666657</v>
      </c>
      <c r="W91" t="s">
        <v>736</v>
      </c>
      <c r="X91" t="s">
        <v>70</v>
      </c>
      <c r="Y91" t="s">
        <v>23</v>
      </c>
      <c r="Z91" t="s">
        <v>69</v>
      </c>
      <c r="AA91" t="s">
        <v>69</v>
      </c>
      <c r="AB91" t="s">
        <v>70</v>
      </c>
      <c r="AC91" t="s">
        <v>70</v>
      </c>
      <c r="AD91" t="s">
        <v>316</v>
      </c>
      <c r="AE91" t="s">
        <v>102</v>
      </c>
      <c r="AF91" t="s">
        <v>67</v>
      </c>
      <c r="AH91" t="b">
        <v>1</v>
      </c>
      <c r="AI91" t="b">
        <v>1</v>
      </c>
      <c r="AJ91" t="b">
        <v>0</v>
      </c>
      <c r="AK91" t="b">
        <v>1</v>
      </c>
      <c r="AL91" s="6">
        <v>0</v>
      </c>
      <c r="AM91" s="3">
        <v>45854.479166666657</v>
      </c>
      <c r="AN91">
        <v>1</v>
      </c>
      <c r="AO91" s="3"/>
      <c r="AT91" t="b">
        <v>0</v>
      </c>
      <c r="AU91" t="s">
        <v>74</v>
      </c>
      <c r="AV91" t="b">
        <v>1</v>
      </c>
      <c r="AW91" t="b">
        <v>0</v>
      </c>
      <c r="AX91" s="5">
        <v>0</v>
      </c>
      <c r="AY91" s="3"/>
      <c r="AZ91" t="s">
        <v>67</v>
      </c>
      <c r="BA91" t="s">
        <v>67</v>
      </c>
      <c r="BB91" t="s">
        <v>317</v>
      </c>
    </row>
    <row r="92" spans="1:54" x14ac:dyDescent="0.3">
      <c r="A92">
        <v>1</v>
      </c>
      <c r="B92">
        <v>15</v>
      </c>
      <c r="C92" t="s">
        <v>54</v>
      </c>
      <c r="D92" s="3">
        <v>45806.722986111112</v>
      </c>
      <c r="E92" s="8">
        <v>45806</v>
      </c>
      <c r="F92" t="s">
        <v>737</v>
      </c>
      <c r="G92" t="s">
        <v>307</v>
      </c>
      <c r="H92" t="s">
        <v>738</v>
      </c>
      <c r="I92" t="s">
        <v>739</v>
      </c>
      <c r="J92" t="s">
        <v>363</v>
      </c>
      <c r="K92" t="s">
        <v>740</v>
      </c>
      <c r="L92" t="s">
        <v>741</v>
      </c>
      <c r="M92" t="s">
        <v>366</v>
      </c>
      <c r="N92" t="s">
        <v>366</v>
      </c>
      <c r="O92" t="s">
        <v>742</v>
      </c>
      <c r="P92" t="s">
        <v>743</v>
      </c>
      <c r="Q92" s="5">
        <v>1</v>
      </c>
      <c r="R92" s="6">
        <v>519</v>
      </c>
      <c r="S92" s="6">
        <v>519</v>
      </c>
      <c r="T92" s="6">
        <v>324</v>
      </c>
      <c r="U92" s="3">
        <v>45862.583333333343</v>
      </c>
      <c r="W92" t="s">
        <v>744</v>
      </c>
      <c r="X92" t="s">
        <v>70</v>
      </c>
      <c r="Y92" t="s">
        <v>23</v>
      </c>
      <c r="Z92" t="s">
        <v>69</v>
      </c>
      <c r="AA92" t="s">
        <v>69</v>
      </c>
      <c r="AB92" t="s">
        <v>67</v>
      </c>
      <c r="AC92" t="s">
        <v>70</v>
      </c>
      <c r="AD92" t="s">
        <v>745</v>
      </c>
      <c r="AE92" t="s">
        <v>102</v>
      </c>
      <c r="AF92" t="s">
        <v>67</v>
      </c>
      <c r="AH92" t="b">
        <v>0</v>
      </c>
      <c r="AI92" t="b">
        <v>0</v>
      </c>
      <c r="AJ92" t="b">
        <v>0</v>
      </c>
      <c r="AK92" t="b">
        <v>0</v>
      </c>
      <c r="AL92" s="6">
        <v>324</v>
      </c>
      <c r="AM92" s="3">
        <v>45862.583333333343</v>
      </c>
      <c r="AN92">
        <v>1</v>
      </c>
      <c r="AO92" s="3"/>
      <c r="AT92" t="b">
        <v>0</v>
      </c>
      <c r="AU92" t="s">
        <v>74</v>
      </c>
      <c r="AV92" t="b">
        <v>1</v>
      </c>
      <c r="AW92" t="b">
        <v>0</v>
      </c>
      <c r="AX92" s="5">
        <v>0</v>
      </c>
      <c r="AY92" s="3"/>
      <c r="AZ92" t="s">
        <v>67</v>
      </c>
      <c r="BA92" t="s">
        <v>67</v>
      </c>
      <c r="BB92" t="s">
        <v>317</v>
      </c>
    </row>
    <row r="93" spans="1:54" x14ac:dyDescent="0.3">
      <c r="A93">
        <v>1</v>
      </c>
      <c r="B93">
        <v>15</v>
      </c>
      <c r="C93" t="s">
        <v>54</v>
      </c>
      <c r="D93" s="3">
        <v>45814.469560185193</v>
      </c>
      <c r="E93" s="8">
        <v>45842</v>
      </c>
      <c r="F93" t="s">
        <v>746</v>
      </c>
      <c r="G93" t="s">
        <v>307</v>
      </c>
      <c r="H93" t="s">
        <v>747</v>
      </c>
      <c r="I93" t="s">
        <v>748</v>
      </c>
      <c r="J93" t="s">
        <v>749</v>
      </c>
      <c r="K93" t="s">
        <v>750</v>
      </c>
      <c r="L93" t="s">
        <v>751</v>
      </c>
      <c r="M93" t="s">
        <v>97</v>
      </c>
      <c r="N93" t="s">
        <v>97</v>
      </c>
      <c r="O93" t="s">
        <v>752</v>
      </c>
      <c r="P93" t="s">
        <v>753</v>
      </c>
      <c r="Q93" s="5">
        <v>2</v>
      </c>
      <c r="R93" s="6">
        <v>80</v>
      </c>
      <c r="S93" s="6">
        <v>160</v>
      </c>
      <c r="T93" s="6">
        <v>0</v>
      </c>
      <c r="U93" s="3">
        <v>46241.229166666657</v>
      </c>
      <c r="W93" t="s">
        <v>754</v>
      </c>
      <c r="X93" t="s">
        <v>70</v>
      </c>
      <c r="Y93" t="s">
        <v>23</v>
      </c>
      <c r="Z93" t="s">
        <v>69</v>
      </c>
      <c r="AA93" t="s">
        <v>69</v>
      </c>
      <c r="AB93" t="s">
        <v>67</v>
      </c>
      <c r="AC93" t="s">
        <v>70</v>
      </c>
      <c r="AD93" t="s">
        <v>101</v>
      </c>
      <c r="AE93" t="s">
        <v>102</v>
      </c>
      <c r="AF93" t="s">
        <v>67</v>
      </c>
      <c r="AG93" t="s">
        <v>752</v>
      </c>
      <c r="AH93" t="b">
        <v>0</v>
      </c>
      <c r="AI93" t="b">
        <v>1</v>
      </c>
      <c r="AJ93" t="b">
        <v>1</v>
      </c>
      <c r="AK93" t="b">
        <v>1</v>
      </c>
      <c r="AL93" s="6">
        <v>0</v>
      </c>
      <c r="AM93" s="3">
        <v>46241.229166666657</v>
      </c>
      <c r="AN93">
        <v>1</v>
      </c>
      <c r="AO93" s="3"/>
      <c r="AT93" t="b">
        <v>0</v>
      </c>
      <c r="AU93" t="s">
        <v>74</v>
      </c>
      <c r="AV93" t="b">
        <v>1</v>
      </c>
      <c r="AW93" t="b">
        <v>0</v>
      </c>
      <c r="AX93" s="5">
        <v>0</v>
      </c>
      <c r="AY93" s="3"/>
      <c r="AZ93" t="s">
        <v>67</v>
      </c>
      <c r="BA93" t="s">
        <v>67</v>
      </c>
      <c r="BB93" t="s">
        <v>317</v>
      </c>
    </row>
    <row r="94" spans="1:54" x14ac:dyDescent="0.3">
      <c r="A94">
        <v>1</v>
      </c>
      <c r="B94">
        <v>15</v>
      </c>
      <c r="C94" t="s">
        <v>54</v>
      </c>
      <c r="D94" s="3">
        <v>45814.726585648154</v>
      </c>
      <c r="E94" s="8">
        <v>45929</v>
      </c>
      <c r="F94" t="s">
        <v>755</v>
      </c>
      <c r="G94" t="s">
        <v>307</v>
      </c>
      <c r="H94" t="s">
        <v>756</v>
      </c>
      <c r="I94" t="s">
        <v>757</v>
      </c>
      <c r="J94" t="s">
        <v>749</v>
      </c>
      <c r="K94" t="s">
        <v>731</v>
      </c>
      <c r="L94" t="s">
        <v>751</v>
      </c>
      <c r="M94" t="s">
        <v>97</v>
      </c>
      <c r="N94" t="s">
        <v>97</v>
      </c>
      <c r="O94" t="s">
        <v>752</v>
      </c>
      <c r="P94" t="s">
        <v>753</v>
      </c>
      <c r="Q94" s="5">
        <v>2</v>
      </c>
      <c r="R94" s="6">
        <v>80</v>
      </c>
      <c r="S94" s="6">
        <v>160</v>
      </c>
      <c r="T94" s="6">
        <v>0</v>
      </c>
      <c r="U94" s="3">
        <v>45933.270833333343</v>
      </c>
      <c r="W94" t="s">
        <v>758</v>
      </c>
      <c r="X94" t="s">
        <v>70</v>
      </c>
      <c r="Y94" t="s">
        <v>23</v>
      </c>
      <c r="Z94" t="s">
        <v>759</v>
      </c>
      <c r="AA94" t="s">
        <v>522</v>
      </c>
      <c r="AB94" t="s">
        <v>67</v>
      </c>
      <c r="AC94" t="s">
        <v>70</v>
      </c>
      <c r="AD94" t="s">
        <v>101</v>
      </c>
      <c r="AE94" t="s">
        <v>102</v>
      </c>
      <c r="AF94" t="s">
        <v>67</v>
      </c>
      <c r="AG94" t="s">
        <v>752</v>
      </c>
      <c r="AH94" t="b">
        <v>0</v>
      </c>
      <c r="AI94" t="b">
        <v>1</v>
      </c>
      <c r="AJ94" t="b">
        <v>1</v>
      </c>
      <c r="AK94" t="b">
        <v>1</v>
      </c>
      <c r="AL94" s="6">
        <v>0</v>
      </c>
      <c r="AM94" s="3">
        <v>45933.270833333343</v>
      </c>
      <c r="AN94">
        <v>0</v>
      </c>
      <c r="AO94" s="3"/>
      <c r="AT94" t="b">
        <v>0</v>
      </c>
      <c r="AU94" t="s">
        <v>74</v>
      </c>
      <c r="AV94" t="b">
        <v>1</v>
      </c>
      <c r="AW94" t="b">
        <v>0</v>
      </c>
      <c r="AX94" s="5">
        <v>0</v>
      </c>
      <c r="AY94" s="3"/>
      <c r="AZ94" t="s">
        <v>67</v>
      </c>
      <c r="BA94" t="s">
        <v>67</v>
      </c>
      <c r="BB94" t="s">
        <v>317</v>
      </c>
    </row>
    <row r="95" spans="1:54" x14ac:dyDescent="0.3">
      <c r="A95">
        <v>1</v>
      </c>
      <c r="B95">
        <v>15</v>
      </c>
      <c r="C95" t="s">
        <v>54</v>
      </c>
      <c r="D95" s="3">
        <v>45814.726585648154</v>
      </c>
      <c r="E95" s="8">
        <v>45929</v>
      </c>
      <c r="F95" t="s">
        <v>755</v>
      </c>
      <c r="G95" t="s">
        <v>307</v>
      </c>
      <c r="H95" t="s">
        <v>756</v>
      </c>
      <c r="I95" t="s">
        <v>757</v>
      </c>
      <c r="J95" t="s">
        <v>749</v>
      </c>
      <c r="K95" t="s">
        <v>731</v>
      </c>
      <c r="L95" t="s">
        <v>751</v>
      </c>
      <c r="M95" t="s">
        <v>97</v>
      </c>
      <c r="N95" t="s">
        <v>97</v>
      </c>
      <c r="O95" t="s">
        <v>752</v>
      </c>
      <c r="P95" t="s">
        <v>753</v>
      </c>
      <c r="Q95" s="5">
        <v>2</v>
      </c>
      <c r="R95" s="6">
        <v>80</v>
      </c>
      <c r="S95" s="6">
        <v>160</v>
      </c>
      <c r="T95" s="6">
        <v>0</v>
      </c>
      <c r="U95" s="3">
        <v>45933.270833333343</v>
      </c>
      <c r="W95" t="s">
        <v>758</v>
      </c>
      <c r="X95" t="s">
        <v>70</v>
      </c>
      <c r="Y95" t="s">
        <v>23</v>
      </c>
      <c r="Z95" t="s">
        <v>759</v>
      </c>
      <c r="AA95" t="s">
        <v>522</v>
      </c>
      <c r="AB95" t="s">
        <v>67</v>
      </c>
      <c r="AC95" t="s">
        <v>70</v>
      </c>
      <c r="AD95" t="s">
        <v>101</v>
      </c>
      <c r="AE95" t="s">
        <v>102</v>
      </c>
      <c r="AF95" t="s">
        <v>67</v>
      </c>
      <c r="AG95" t="s">
        <v>752</v>
      </c>
      <c r="AH95" t="b">
        <v>0</v>
      </c>
      <c r="AI95" t="b">
        <v>1</v>
      </c>
      <c r="AJ95" t="b">
        <v>1</v>
      </c>
      <c r="AK95" t="b">
        <v>1</v>
      </c>
      <c r="AL95" s="6">
        <v>0</v>
      </c>
      <c r="AM95" s="3">
        <v>45933.270833333343</v>
      </c>
      <c r="AN95">
        <v>1</v>
      </c>
      <c r="AO95" s="3"/>
      <c r="AT95" t="b">
        <v>0</v>
      </c>
      <c r="AU95" t="s">
        <v>74</v>
      </c>
      <c r="AV95" t="b">
        <v>1</v>
      </c>
      <c r="AW95" t="b">
        <v>0</v>
      </c>
      <c r="AX95" s="5">
        <v>0</v>
      </c>
      <c r="AY95" s="3"/>
      <c r="AZ95" t="s">
        <v>67</v>
      </c>
      <c r="BA95" t="s">
        <v>67</v>
      </c>
      <c r="BB95" t="s">
        <v>317</v>
      </c>
    </row>
    <row r="96" spans="1:54" x14ac:dyDescent="0.3">
      <c r="A96">
        <v>1</v>
      </c>
      <c r="B96">
        <v>15</v>
      </c>
      <c r="C96" t="s">
        <v>54</v>
      </c>
      <c r="D96" s="3">
        <v>45814.726585648154</v>
      </c>
      <c r="E96" s="8">
        <v>45929</v>
      </c>
      <c r="F96" t="s">
        <v>755</v>
      </c>
      <c r="G96" t="s">
        <v>307</v>
      </c>
      <c r="H96" t="s">
        <v>756</v>
      </c>
      <c r="I96" t="s">
        <v>757</v>
      </c>
      <c r="J96" t="s">
        <v>749</v>
      </c>
      <c r="K96" t="s">
        <v>731</v>
      </c>
      <c r="L96" t="s">
        <v>751</v>
      </c>
      <c r="M96" t="s">
        <v>97</v>
      </c>
      <c r="N96" t="s">
        <v>97</v>
      </c>
      <c r="O96" t="s">
        <v>760</v>
      </c>
      <c r="P96" t="s">
        <v>761</v>
      </c>
      <c r="Q96" s="5">
        <v>1</v>
      </c>
      <c r="R96" s="6">
        <v>58</v>
      </c>
      <c r="S96" s="6">
        <v>58</v>
      </c>
      <c r="T96" s="6">
        <v>21</v>
      </c>
      <c r="U96" s="3">
        <v>45933.270833333343</v>
      </c>
      <c r="W96" t="s">
        <v>758</v>
      </c>
      <c r="X96" t="s">
        <v>70</v>
      </c>
      <c r="Y96" t="s">
        <v>68</v>
      </c>
      <c r="Z96" t="s">
        <v>759</v>
      </c>
      <c r="AA96" t="s">
        <v>522</v>
      </c>
      <c r="AB96" t="s">
        <v>67</v>
      </c>
      <c r="AC96" t="s">
        <v>70</v>
      </c>
      <c r="AD96" t="s">
        <v>101</v>
      </c>
      <c r="AE96" t="s">
        <v>110</v>
      </c>
      <c r="AF96" t="s">
        <v>67</v>
      </c>
      <c r="AG96" t="s">
        <v>762</v>
      </c>
      <c r="AH96" t="b">
        <v>0</v>
      </c>
      <c r="AI96" t="b">
        <v>1</v>
      </c>
      <c r="AJ96" t="b">
        <v>1</v>
      </c>
      <c r="AK96" t="b">
        <v>1</v>
      </c>
      <c r="AL96" s="6">
        <v>21</v>
      </c>
      <c r="AM96" s="3">
        <v>45933.270833333343</v>
      </c>
      <c r="AN96">
        <v>0</v>
      </c>
      <c r="AO96" s="3"/>
      <c r="AT96" t="b">
        <v>0</v>
      </c>
      <c r="AU96" t="s">
        <v>74</v>
      </c>
      <c r="AV96" t="b">
        <v>1</v>
      </c>
      <c r="AW96" t="b">
        <v>0</v>
      </c>
      <c r="AX96" s="5">
        <v>1</v>
      </c>
      <c r="AY96" s="3"/>
      <c r="AZ96" t="s">
        <v>67</v>
      </c>
      <c r="BA96" t="s">
        <v>67</v>
      </c>
      <c r="BB96" t="s">
        <v>317</v>
      </c>
    </row>
    <row r="97" spans="1:54" x14ac:dyDescent="0.3">
      <c r="A97">
        <v>1</v>
      </c>
      <c r="B97">
        <v>15</v>
      </c>
      <c r="C97" t="s">
        <v>54</v>
      </c>
      <c r="D97" s="3">
        <v>45814.726585648154</v>
      </c>
      <c r="E97" s="8">
        <v>45929</v>
      </c>
      <c r="F97" t="s">
        <v>755</v>
      </c>
      <c r="G97" t="s">
        <v>307</v>
      </c>
      <c r="H97" t="s">
        <v>756</v>
      </c>
      <c r="I97" t="s">
        <v>757</v>
      </c>
      <c r="J97" t="s">
        <v>749</v>
      </c>
      <c r="K97" t="s">
        <v>731</v>
      </c>
      <c r="L97" t="s">
        <v>751</v>
      </c>
      <c r="M97" t="s">
        <v>97</v>
      </c>
      <c r="N97" t="s">
        <v>97</v>
      </c>
      <c r="O97" t="s">
        <v>760</v>
      </c>
      <c r="P97" t="s">
        <v>761</v>
      </c>
      <c r="Q97" s="5">
        <v>1</v>
      </c>
      <c r="R97" s="6">
        <v>58</v>
      </c>
      <c r="S97" s="6">
        <v>58</v>
      </c>
      <c r="T97" s="6">
        <v>21</v>
      </c>
      <c r="U97" s="3">
        <v>45933.270833333343</v>
      </c>
      <c r="W97" t="s">
        <v>758</v>
      </c>
      <c r="X97" t="s">
        <v>70</v>
      </c>
      <c r="Y97" t="s">
        <v>68</v>
      </c>
      <c r="Z97" t="s">
        <v>759</v>
      </c>
      <c r="AA97" t="s">
        <v>522</v>
      </c>
      <c r="AB97" t="s">
        <v>67</v>
      </c>
      <c r="AC97" t="s">
        <v>70</v>
      </c>
      <c r="AD97" t="s">
        <v>101</v>
      </c>
      <c r="AE97" t="s">
        <v>110</v>
      </c>
      <c r="AF97" t="s">
        <v>67</v>
      </c>
      <c r="AG97" t="s">
        <v>762</v>
      </c>
      <c r="AH97" t="b">
        <v>0</v>
      </c>
      <c r="AI97" t="b">
        <v>1</v>
      </c>
      <c r="AJ97" t="b">
        <v>1</v>
      </c>
      <c r="AK97" t="b">
        <v>1</v>
      </c>
      <c r="AL97" s="6">
        <v>21</v>
      </c>
      <c r="AM97" s="3">
        <v>45933.270833333343</v>
      </c>
      <c r="AN97">
        <v>1</v>
      </c>
      <c r="AO97" s="3"/>
      <c r="AT97" t="b">
        <v>0</v>
      </c>
      <c r="AU97" t="s">
        <v>74</v>
      </c>
      <c r="AV97" t="b">
        <v>1</v>
      </c>
      <c r="AW97" t="b">
        <v>0</v>
      </c>
      <c r="AX97" s="5">
        <v>1</v>
      </c>
      <c r="AY97" s="3"/>
      <c r="AZ97" t="s">
        <v>67</v>
      </c>
      <c r="BA97" t="s">
        <v>67</v>
      </c>
      <c r="BB97" t="s">
        <v>317</v>
      </c>
    </row>
    <row r="98" spans="1:54" x14ac:dyDescent="0.3">
      <c r="A98">
        <v>1</v>
      </c>
      <c r="B98">
        <v>15</v>
      </c>
      <c r="C98" t="s">
        <v>54</v>
      </c>
      <c r="D98" s="3">
        <v>45814.726585648154</v>
      </c>
      <c r="E98" s="8">
        <v>45929</v>
      </c>
      <c r="F98" t="s">
        <v>755</v>
      </c>
      <c r="G98" t="s">
        <v>307</v>
      </c>
      <c r="H98" t="s">
        <v>756</v>
      </c>
      <c r="I98" t="s">
        <v>757</v>
      </c>
      <c r="J98" t="s">
        <v>749</v>
      </c>
      <c r="K98" t="s">
        <v>731</v>
      </c>
      <c r="L98" t="s">
        <v>751</v>
      </c>
      <c r="M98" t="s">
        <v>97</v>
      </c>
      <c r="N98" t="s">
        <v>97</v>
      </c>
      <c r="O98" t="s">
        <v>763</v>
      </c>
      <c r="P98" t="s">
        <v>764</v>
      </c>
      <c r="Q98" s="5">
        <v>1</v>
      </c>
      <c r="R98" s="6">
        <v>186</v>
      </c>
      <c r="S98" s="6">
        <v>186</v>
      </c>
      <c r="T98" s="6">
        <v>67.349999999999994</v>
      </c>
      <c r="U98" s="3">
        <v>45933.270833333343</v>
      </c>
      <c r="W98" t="s">
        <v>758</v>
      </c>
      <c r="X98" t="s">
        <v>70</v>
      </c>
      <c r="Y98" t="s">
        <v>68</v>
      </c>
      <c r="Z98" t="s">
        <v>759</v>
      </c>
      <c r="AA98" t="s">
        <v>522</v>
      </c>
      <c r="AB98" t="s">
        <v>67</v>
      </c>
      <c r="AC98" t="s">
        <v>70</v>
      </c>
      <c r="AD98" t="s">
        <v>101</v>
      </c>
      <c r="AE98" t="s">
        <v>110</v>
      </c>
      <c r="AF98" t="s">
        <v>67</v>
      </c>
      <c r="AG98" t="s">
        <v>765</v>
      </c>
      <c r="AH98" t="b">
        <v>0</v>
      </c>
      <c r="AI98" t="b">
        <v>1</v>
      </c>
      <c r="AJ98" t="b">
        <v>1</v>
      </c>
      <c r="AK98" t="b">
        <v>1</v>
      </c>
      <c r="AL98" s="6">
        <v>67.349999999999994</v>
      </c>
      <c r="AM98" s="3">
        <v>45933.270833333343</v>
      </c>
      <c r="AN98">
        <v>0</v>
      </c>
      <c r="AO98" s="3"/>
      <c r="AT98" t="b">
        <v>0</v>
      </c>
      <c r="AU98" t="s">
        <v>74</v>
      </c>
      <c r="AV98" t="b">
        <v>1</v>
      </c>
      <c r="AW98" t="b">
        <v>0</v>
      </c>
      <c r="AX98" s="5">
        <v>1</v>
      </c>
      <c r="AY98" s="3"/>
      <c r="AZ98" t="s">
        <v>67</v>
      </c>
      <c r="BA98" t="s">
        <v>67</v>
      </c>
      <c r="BB98" t="s">
        <v>317</v>
      </c>
    </row>
    <row r="99" spans="1:54" x14ac:dyDescent="0.3">
      <c r="A99">
        <v>1</v>
      </c>
      <c r="B99">
        <v>15</v>
      </c>
      <c r="C99" t="s">
        <v>54</v>
      </c>
      <c r="D99" s="3">
        <v>45814.726585648154</v>
      </c>
      <c r="E99" s="8">
        <v>45929</v>
      </c>
      <c r="F99" t="s">
        <v>755</v>
      </c>
      <c r="G99" t="s">
        <v>307</v>
      </c>
      <c r="H99" t="s">
        <v>756</v>
      </c>
      <c r="I99" t="s">
        <v>757</v>
      </c>
      <c r="J99" t="s">
        <v>749</v>
      </c>
      <c r="K99" t="s">
        <v>731</v>
      </c>
      <c r="L99" t="s">
        <v>751</v>
      </c>
      <c r="M99" t="s">
        <v>97</v>
      </c>
      <c r="N99" t="s">
        <v>97</v>
      </c>
      <c r="O99" t="s">
        <v>763</v>
      </c>
      <c r="P99" t="s">
        <v>764</v>
      </c>
      <c r="Q99" s="5">
        <v>1</v>
      </c>
      <c r="R99" s="6">
        <v>186</v>
      </c>
      <c r="S99" s="6">
        <v>186</v>
      </c>
      <c r="T99" s="6">
        <v>67.349999999999994</v>
      </c>
      <c r="U99" s="3">
        <v>45933.270833333343</v>
      </c>
      <c r="W99" t="s">
        <v>758</v>
      </c>
      <c r="X99" t="s">
        <v>70</v>
      </c>
      <c r="Y99" t="s">
        <v>68</v>
      </c>
      <c r="Z99" t="s">
        <v>759</v>
      </c>
      <c r="AA99" t="s">
        <v>522</v>
      </c>
      <c r="AB99" t="s">
        <v>67</v>
      </c>
      <c r="AC99" t="s">
        <v>70</v>
      </c>
      <c r="AD99" t="s">
        <v>101</v>
      </c>
      <c r="AE99" t="s">
        <v>110</v>
      </c>
      <c r="AF99" t="s">
        <v>67</v>
      </c>
      <c r="AG99" t="s">
        <v>765</v>
      </c>
      <c r="AH99" t="b">
        <v>0</v>
      </c>
      <c r="AI99" t="b">
        <v>1</v>
      </c>
      <c r="AJ99" t="b">
        <v>1</v>
      </c>
      <c r="AK99" t="b">
        <v>1</v>
      </c>
      <c r="AL99" s="6">
        <v>67.349999999999994</v>
      </c>
      <c r="AM99" s="3">
        <v>45933.270833333343</v>
      </c>
      <c r="AN99">
        <v>1</v>
      </c>
      <c r="AO99" s="3"/>
      <c r="AT99" t="b">
        <v>0</v>
      </c>
      <c r="AU99" t="s">
        <v>74</v>
      </c>
      <c r="AV99" t="b">
        <v>1</v>
      </c>
      <c r="AW99" t="b">
        <v>0</v>
      </c>
      <c r="AX99" s="5">
        <v>1</v>
      </c>
      <c r="AY99" s="3"/>
      <c r="AZ99" t="s">
        <v>67</v>
      </c>
      <c r="BA99" t="s">
        <v>67</v>
      </c>
      <c r="BB99" t="s">
        <v>317</v>
      </c>
    </row>
    <row r="100" spans="1:54" x14ac:dyDescent="0.3">
      <c r="A100">
        <v>1</v>
      </c>
      <c r="B100">
        <v>15</v>
      </c>
      <c r="C100" t="s">
        <v>54</v>
      </c>
      <c r="D100" s="3">
        <v>45814.726585648154</v>
      </c>
      <c r="E100" s="8">
        <v>45929</v>
      </c>
      <c r="F100" t="s">
        <v>755</v>
      </c>
      <c r="G100" t="s">
        <v>307</v>
      </c>
      <c r="H100" t="s">
        <v>756</v>
      </c>
      <c r="I100" t="s">
        <v>757</v>
      </c>
      <c r="J100" t="s">
        <v>749</v>
      </c>
      <c r="K100" t="s">
        <v>731</v>
      </c>
      <c r="L100" t="s">
        <v>751</v>
      </c>
      <c r="M100" t="s">
        <v>97</v>
      </c>
      <c r="N100" t="s">
        <v>97</v>
      </c>
      <c r="O100" t="s">
        <v>766</v>
      </c>
      <c r="P100" t="s">
        <v>767</v>
      </c>
      <c r="Q100" s="5">
        <v>1</v>
      </c>
      <c r="R100" s="6">
        <v>61</v>
      </c>
      <c r="S100" s="6">
        <v>61</v>
      </c>
      <c r="T100" s="6">
        <v>21.9</v>
      </c>
      <c r="U100" s="3">
        <v>45933.270833333343</v>
      </c>
      <c r="W100" t="s">
        <v>758</v>
      </c>
      <c r="X100" t="s">
        <v>70</v>
      </c>
      <c r="Y100" t="s">
        <v>68</v>
      </c>
      <c r="Z100" t="s">
        <v>759</v>
      </c>
      <c r="AA100" t="s">
        <v>522</v>
      </c>
      <c r="AB100" t="s">
        <v>67</v>
      </c>
      <c r="AC100" t="s">
        <v>70</v>
      </c>
      <c r="AD100" t="s">
        <v>101</v>
      </c>
      <c r="AE100" t="s">
        <v>110</v>
      </c>
      <c r="AF100" t="s">
        <v>67</v>
      </c>
      <c r="AG100" t="s">
        <v>768</v>
      </c>
      <c r="AH100" t="b">
        <v>0</v>
      </c>
      <c r="AI100" t="b">
        <v>1</v>
      </c>
      <c r="AJ100" t="b">
        <v>1</v>
      </c>
      <c r="AK100" t="b">
        <v>1</v>
      </c>
      <c r="AL100" s="6">
        <v>21.9</v>
      </c>
      <c r="AM100" s="3">
        <v>45933.270833333343</v>
      </c>
      <c r="AN100">
        <v>0</v>
      </c>
      <c r="AO100" s="3"/>
      <c r="AT100" t="b">
        <v>0</v>
      </c>
      <c r="AU100" t="s">
        <v>74</v>
      </c>
      <c r="AV100" t="b">
        <v>1</v>
      </c>
      <c r="AW100" t="b">
        <v>0</v>
      </c>
      <c r="AX100" s="5">
        <v>1</v>
      </c>
      <c r="AY100" s="3"/>
      <c r="AZ100" t="s">
        <v>67</v>
      </c>
      <c r="BA100" t="s">
        <v>67</v>
      </c>
      <c r="BB100" t="s">
        <v>317</v>
      </c>
    </row>
    <row r="101" spans="1:54" x14ac:dyDescent="0.3">
      <c r="A101">
        <v>1</v>
      </c>
      <c r="B101">
        <v>15</v>
      </c>
      <c r="C101" t="s">
        <v>54</v>
      </c>
      <c r="D101" s="3">
        <v>45814.726585648154</v>
      </c>
      <c r="E101" s="8">
        <v>45929</v>
      </c>
      <c r="F101" t="s">
        <v>755</v>
      </c>
      <c r="G101" t="s">
        <v>307</v>
      </c>
      <c r="H101" t="s">
        <v>756</v>
      </c>
      <c r="I101" t="s">
        <v>757</v>
      </c>
      <c r="J101" t="s">
        <v>749</v>
      </c>
      <c r="K101" t="s">
        <v>731</v>
      </c>
      <c r="L101" t="s">
        <v>751</v>
      </c>
      <c r="M101" t="s">
        <v>97</v>
      </c>
      <c r="N101" t="s">
        <v>97</v>
      </c>
      <c r="O101" t="s">
        <v>766</v>
      </c>
      <c r="P101" t="s">
        <v>767</v>
      </c>
      <c r="Q101" s="5">
        <v>1</v>
      </c>
      <c r="R101" s="6">
        <v>61</v>
      </c>
      <c r="S101" s="6">
        <v>61</v>
      </c>
      <c r="T101" s="6">
        <v>21.9</v>
      </c>
      <c r="U101" s="3">
        <v>45933.270833333343</v>
      </c>
      <c r="W101" t="s">
        <v>758</v>
      </c>
      <c r="X101" t="s">
        <v>70</v>
      </c>
      <c r="Y101" t="s">
        <v>68</v>
      </c>
      <c r="Z101" t="s">
        <v>759</v>
      </c>
      <c r="AA101" t="s">
        <v>522</v>
      </c>
      <c r="AB101" t="s">
        <v>67</v>
      </c>
      <c r="AC101" t="s">
        <v>70</v>
      </c>
      <c r="AD101" t="s">
        <v>101</v>
      </c>
      <c r="AE101" t="s">
        <v>110</v>
      </c>
      <c r="AF101" t="s">
        <v>67</v>
      </c>
      <c r="AG101" t="s">
        <v>768</v>
      </c>
      <c r="AH101" t="b">
        <v>0</v>
      </c>
      <c r="AI101" t="b">
        <v>1</v>
      </c>
      <c r="AJ101" t="b">
        <v>1</v>
      </c>
      <c r="AK101" t="b">
        <v>1</v>
      </c>
      <c r="AL101" s="6">
        <v>21.9</v>
      </c>
      <c r="AM101" s="3">
        <v>45933.270833333343</v>
      </c>
      <c r="AN101">
        <v>1</v>
      </c>
      <c r="AO101" s="3"/>
      <c r="AT101" t="b">
        <v>0</v>
      </c>
      <c r="AU101" t="s">
        <v>74</v>
      </c>
      <c r="AV101" t="b">
        <v>1</v>
      </c>
      <c r="AW101" t="b">
        <v>0</v>
      </c>
      <c r="AX101" s="5">
        <v>1</v>
      </c>
      <c r="AY101" s="3"/>
      <c r="AZ101" t="s">
        <v>67</v>
      </c>
      <c r="BA101" t="s">
        <v>67</v>
      </c>
      <c r="BB101" t="s">
        <v>317</v>
      </c>
    </row>
    <row r="102" spans="1:54" x14ac:dyDescent="0.3">
      <c r="A102">
        <v>1</v>
      </c>
      <c r="B102">
        <v>15</v>
      </c>
      <c r="C102" t="s">
        <v>54</v>
      </c>
      <c r="D102" s="3">
        <v>45814.726585648154</v>
      </c>
      <c r="E102" s="8">
        <v>45929</v>
      </c>
      <c r="F102" t="s">
        <v>755</v>
      </c>
      <c r="G102" t="s">
        <v>307</v>
      </c>
      <c r="H102" t="s">
        <v>756</v>
      </c>
      <c r="I102" t="s">
        <v>757</v>
      </c>
      <c r="J102" t="s">
        <v>749</v>
      </c>
      <c r="K102" t="s">
        <v>731</v>
      </c>
      <c r="L102" t="s">
        <v>751</v>
      </c>
      <c r="M102" t="s">
        <v>97</v>
      </c>
      <c r="N102" t="s">
        <v>97</v>
      </c>
      <c r="O102" t="s">
        <v>769</v>
      </c>
      <c r="P102" t="s">
        <v>770</v>
      </c>
      <c r="Q102" s="5">
        <v>1</v>
      </c>
      <c r="R102" s="6">
        <v>175</v>
      </c>
      <c r="S102" s="6">
        <v>175</v>
      </c>
      <c r="T102" s="6">
        <v>63.48</v>
      </c>
      <c r="U102" s="3">
        <v>45933.270833333343</v>
      </c>
      <c r="W102" t="s">
        <v>758</v>
      </c>
      <c r="X102" t="s">
        <v>70</v>
      </c>
      <c r="Y102" t="s">
        <v>68</v>
      </c>
      <c r="Z102" t="s">
        <v>759</v>
      </c>
      <c r="AA102" t="s">
        <v>522</v>
      </c>
      <c r="AB102" t="s">
        <v>67</v>
      </c>
      <c r="AC102" t="s">
        <v>70</v>
      </c>
      <c r="AD102" t="s">
        <v>101</v>
      </c>
      <c r="AE102" t="s">
        <v>220</v>
      </c>
      <c r="AF102" t="s">
        <v>67</v>
      </c>
      <c r="AG102" t="s">
        <v>771</v>
      </c>
      <c r="AH102" t="b">
        <v>0</v>
      </c>
      <c r="AI102" t="b">
        <v>1</v>
      </c>
      <c r="AJ102" t="b">
        <v>1</v>
      </c>
      <c r="AK102" t="b">
        <v>1</v>
      </c>
      <c r="AL102" s="6">
        <v>63.48</v>
      </c>
      <c r="AM102" s="3">
        <v>45933.270833333343</v>
      </c>
      <c r="AN102">
        <v>0</v>
      </c>
      <c r="AO102" s="3"/>
      <c r="AT102" t="b">
        <v>0</v>
      </c>
      <c r="AU102" t="s">
        <v>74</v>
      </c>
      <c r="AV102" t="b">
        <v>1</v>
      </c>
      <c r="AW102" t="b">
        <v>0</v>
      </c>
      <c r="AX102" s="5">
        <v>1</v>
      </c>
      <c r="AY102" s="3"/>
      <c r="AZ102" t="s">
        <v>67</v>
      </c>
      <c r="BA102" t="s">
        <v>67</v>
      </c>
      <c r="BB102" t="s">
        <v>317</v>
      </c>
    </row>
    <row r="103" spans="1:54" x14ac:dyDescent="0.3">
      <c r="A103">
        <v>1</v>
      </c>
      <c r="B103">
        <v>15</v>
      </c>
      <c r="C103" t="s">
        <v>54</v>
      </c>
      <c r="D103" s="3">
        <v>45814.726585648154</v>
      </c>
      <c r="E103" s="8">
        <v>45929</v>
      </c>
      <c r="F103" t="s">
        <v>755</v>
      </c>
      <c r="G103" t="s">
        <v>307</v>
      </c>
      <c r="H103" t="s">
        <v>756</v>
      </c>
      <c r="I103" t="s">
        <v>757</v>
      </c>
      <c r="J103" t="s">
        <v>749</v>
      </c>
      <c r="K103" t="s">
        <v>731</v>
      </c>
      <c r="L103" t="s">
        <v>751</v>
      </c>
      <c r="M103" t="s">
        <v>97</v>
      </c>
      <c r="N103" t="s">
        <v>97</v>
      </c>
      <c r="O103" t="s">
        <v>769</v>
      </c>
      <c r="P103" t="s">
        <v>770</v>
      </c>
      <c r="Q103" s="5">
        <v>1</v>
      </c>
      <c r="R103" s="6">
        <v>175</v>
      </c>
      <c r="S103" s="6">
        <v>175</v>
      </c>
      <c r="T103" s="6">
        <v>63.48</v>
      </c>
      <c r="U103" s="3">
        <v>45933.270833333343</v>
      </c>
      <c r="W103" t="s">
        <v>758</v>
      </c>
      <c r="X103" t="s">
        <v>70</v>
      </c>
      <c r="Y103" t="s">
        <v>68</v>
      </c>
      <c r="Z103" t="s">
        <v>759</v>
      </c>
      <c r="AA103" t="s">
        <v>522</v>
      </c>
      <c r="AB103" t="s">
        <v>67</v>
      </c>
      <c r="AC103" t="s">
        <v>70</v>
      </c>
      <c r="AD103" t="s">
        <v>101</v>
      </c>
      <c r="AE103" t="s">
        <v>220</v>
      </c>
      <c r="AF103" t="s">
        <v>67</v>
      </c>
      <c r="AG103" t="s">
        <v>771</v>
      </c>
      <c r="AH103" t="b">
        <v>0</v>
      </c>
      <c r="AI103" t="b">
        <v>1</v>
      </c>
      <c r="AJ103" t="b">
        <v>1</v>
      </c>
      <c r="AK103" t="b">
        <v>1</v>
      </c>
      <c r="AL103" s="6">
        <v>63.48</v>
      </c>
      <c r="AM103" s="3">
        <v>45933.270833333343</v>
      </c>
      <c r="AN103">
        <v>1</v>
      </c>
      <c r="AO103" s="3"/>
      <c r="AT103" t="b">
        <v>0</v>
      </c>
      <c r="AU103" t="s">
        <v>74</v>
      </c>
      <c r="AV103" t="b">
        <v>1</v>
      </c>
      <c r="AW103" t="b">
        <v>0</v>
      </c>
      <c r="AX103" s="5">
        <v>1</v>
      </c>
      <c r="AY103" s="3"/>
      <c r="AZ103" t="s">
        <v>67</v>
      </c>
      <c r="BA103" t="s">
        <v>67</v>
      </c>
      <c r="BB103" t="s">
        <v>317</v>
      </c>
    </row>
    <row r="104" spans="1:54" x14ac:dyDescent="0.3">
      <c r="A104">
        <v>1</v>
      </c>
      <c r="B104">
        <v>15</v>
      </c>
      <c r="C104" t="s">
        <v>54</v>
      </c>
      <c r="D104" s="3">
        <v>45814.726585648154</v>
      </c>
      <c r="E104" s="8">
        <v>45929</v>
      </c>
      <c r="F104" t="s">
        <v>755</v>
      </c>
      <c r="G104" t="s">
        <v>307</v>
      </c>
      <c r="H104" t="s">
        <v>756</v>
      </c>
      <c r="I104" t="s">
        <v>757</v>
      </c>
      <c r="J104" t="s">
        <v>749</v>
      </c>
      <c r="K104" t="s">
        <v>731</v>
      </c>
      <c r="L104" t="s">
        <v>751</v>
      </c>
      <c r="M104" t="s">
        <v>97</v>
      </c>
      <c r="N104" t="s">
        <v>97</v>
      </c>
      <c r="O104" t="s">
        <v>772</v>
      </c>
      <c r="P104" t="s">
        <v>773</v>
      </c>
      <c r="Q104" s="5">
        <v>1</v>
      </c>
      <c r="R104" s="6">
        <v>190</v>
      </c>
      <c r="S104" s="6">
        <v>190</v>
      </c>
      <c r="T104" s="6">
        <v>69</v>
      </c>
      <c r="U104" s="3">
        <v>45933.270833333343</v>
      </c>
      <c r="W104" t="s">
        <v>758</v>
      </c>
      <c r="X104" t="s">
        <v>70</v>
      </c>
      <c r="Y104" t="s">
        <v>68</v>
      </c>
      <c r="Z104" t="s">
        <v>759</v>
      </c>
      <c r="AA104" t="s">
        <v>522</v>
      </c>
      <c r="AB104" t="s">
        <v>67</v>
      </c>
      <c r="AC104" t="s">
        <v>70</v>
      </c>
      <c r="AD104" t="s">
        <v>101</v>
      </c>
      <c r="AE104" t="s">
        <v>220</v>
      </c>
      <c r="AF104" t="s">
        <v>67</v>
      </c>
      <c r="AG104" t="s">
        <v>774</v>
      </c>
      <c r="AH104" t="b">
        <v>0</v>
      </c>
      <c r="AI104" t="b">
        <v>1</v>
      </c>
      <c r="AJ104" t="b">
        <v>1</v>
      </c>
      <c r="AK104" t="b">
        <v>1</v>
      </c>
      <c r="AL104" s="6">
        <v>69</v>
      </c>
      <c r="AM104" s="3">
        <v>45933.270833333343</v>
      </c>
      <c r="AN104">
        <v>0</v>
      </c>
      <c r="AO104" s="3"/>
      <c r="AT104" t="b">
        <v>0</v>
      </c>
      <c r="AU104" t="s">
        <v>74</v>
      </c>
      <c r="AV104" t="b">
        <v>1</v>
      </c>
      <c r="AW104" t="b">
        <v>0</v>
      </c>
      <c r="AX104" s="5">
        <v>1</v>
      </c>
      <c r="AY104" s="3"/>
      <c r="AZ104" t="s">
        <v>67</v>
      </c>
      <c r="BA104" t="s">
        <v>67</v>
      </c>
      <c r="BB104" t="s">
        <v>317</v>
      </c>
    </row>
    <row r="105" spans="1:54" x14ac:dyDescent="0.3">
      <c r="A105">
        <v>1</v>
      </c>
      <c r="B105">
        <v>15</v>
      </c>
      <c r="C105" t="s">
        <v>54</v>
      </c>
      <c r="D105" s="3">
        <v>45814.726585648154</v>
      </c>
      <c r="E105" s="8">
        <v>45929</v>
      </c>
      <c r="F105" t="s">
        <v>755</v>
      </c>
      <c r="G105" t="s">
        <v>307</v>
      </c>
      <c r="H105" t="s">
        <v>756</v>
      </c>
      <c r="I105" t="s">
        <v>757</v>
      </c>
      <c r="J105" t="s">
        <v>749</v>
      </c>
      <c r="K105" t="s">
        <v>731</v>
      </c>
      <c r="L105" t="s">
        <v>751</v>
      </c>
      <c r="M105" t="s">
        <v>97</v>
      </c>
      <c r="N105" t="s">
        <v>97</v>
      </c>
      <c r="O105" t="s">
        <v>772</v>
      </c>
      <c r="P105" t="s">
        <v>773</v>
      </c>
      <c r="Q105" s="5">
        <v>1</v>
      </c>
      <c r="R105" s="6">
        <v>190</v>
      </c>
      <c r="S105" s="6">
        <v>190</v>
      </c>
      <c r="T105" s="6">
        <v>69</v>
      </c>
      <c r="U105" s="3">
        <v>45933.270833333343</v>
      </c>
      <c r="W105" t="s">
        <v>758</v>
      </c>
      <c r="X105" t="s">
        <v>70</v>
      </c>
      <c r="Y105" t="s">
        <v>68</v>
      </c>
      <c r="Z105" t="s">
        <v>759</v>
      </c>
      <c r="AA105" t="s">
        <v>522</v>
      </c>
      <c r="AB105" t="s">
        <v>67</v>
      </c>
      <c r="AC105" t="s">
        <v>70</v>
      </c>
      <c r="AD105" t="s">
        <v>101</v>
      </c>
      <c r="AE105" t="s">
        <v>220</v>
      </c>
      <c r="AF105" t="s">
        <v>67</v>
      </c>
      <c r="AG105" t="s">
        <v>774</v>
      </c>
      <c r="AH105" t="b">
        <v>0</v>
      </c>
      <c r="AI105" t="b">
        <v>1</v>
      </c>
      <c r="AJ105" t="b">
        <v>1</v>
      </c>
      <c r="AK105" t="b">
        <v>1</v>
      </c>
      <c r="AL105" s="6">
        <v>69</v>
      </c>
      <c r="AM105" s="3">
        <v>45933.270833333343</v>
      </c>
      <c r="AN105">
        <v>1</v>
      </c>
      <c r="AO105" s="3"/>
      <c r="AT105" t="b">
        <v>0</v>
      </c>
      <c r="AU105" t="s">
        <v>74</v>
      </c>
      <c r="AV105" t="b">
        <v>1</v>
      </c>
      <c r="AW105" t="b">
        <v>0</v>
      </c>
      <c r="AX105" s="5">
        <v>1</v>
      </c>
      <c r="AY105" s="3"/>
      <c r="AZ105" t="s">
        <v>67</v>
      </c>
      <c r="BA105" t="s">
        <v>67</v>
      </c>
      <c r="BB105" t="s">
        <v>317</v>
      </c>
    </row>
    <row r="106" spans="1:54" x14ac:dyDescent="0.3">
      <c r="A106">
        <v>1</v>
      </c>
      <c r="B106">
        <v>15</v>
      </c>
      <c r="C106" t="s">
        <v>54</v>
      </c>
      <c r="D106" s="3">
        <v>45814.726585648154</v>
      </c>
      <c r="E106" s="8">
        <v>45929</v>
      </c>
      <c r="F106" t="s">
        <v>755</v>
      </c>
      <c r="G106" t="s">
        <v>307</v>
      </c>
      <c r="H106" t="s">
        <v>756</v>
      </c>
      <c r="I106" t="s">
        <v>757</v>
      </c>
      <c r="J106" t="s">
        <v>749</v>
      </c>
      <c r="K106" t="s">
        <v>731</v>
      </c>
      <c r="L106" t="s">
        <v>751</v>
      </c>
      <c r="M106" t="s">
        <v>97</v>
      </c>
      <c r="N106" t="s">
        <v>97</v>
      </c>
      <c r="O106" t="s">
        <v>775</v>
      </c>
      <c r="P106" t="s">
        <v>776</v>
      </c>
      <c r="Q106" s="5">
        <v>1</v>
      </c>
      <c r="R106" s="6">
        <v>61</v>
      </c>
      <c r="S106" s="6">
        <v>61</v>
      </c>
      <c r="T106" s="6">
        <v>22.08</v>
      </c>
      <c r="U106" s="3">
        <v>45933.270833333343</v>
      </c>
      <c r="W106" t="s">
        <v>758</v>
      </c>
      <c r="X106" t="s">
        <v>70</v>
      </c>
      <c r="Y106" t="s">
        <v>68</v>
      </c>
      <c r="Z106" t="s">
        <v>759</v>
      </c>
      <c r="AA106" t="s">
        <v>522</v>
      </c>
      <c r="AB106" t="s">
        <v>67</v>
      </c>
      <c r="AC106" t="s">
        <v>70</v>
      </c>
      <c r="AD106" t="s">
        <v>101</v>
      </c>
      <c r="AE106" t="s">
        <v>220</v>
      </c>
      <c r="AF106" t="s">
        <v>67</v>
      </c>
      <c r="AG106" t="s">
        <v>777</v>
      </c>
      <c r="AH106" t="b">
        <v>0</v>
      </c>
      <c r="AI106" t="b">
        <v>1</v>
      </c>
      <c r="AJ106" t="b">
        <v>1</v>
      </c>
      <c r="AK106" t="b">
        <v>1</v>
      </c>
      <c r="AL106" s="6">
        <v>22.08</v>
      </c>
      <c r="AM106" s="3">
        <v>45933.270833333343</v>
      </c>
      <c r="AN106">
        <v>0</v>
      </c>
      <c r="AO106" s="3"/>
      <c r="AT106" t="b">
        <v>0</v>
      </c>
      <c r="AU106" t="s">
        <v>74</v>
      </c>
      <c r="AV106" t="b">
        <v>1</v>
      </c>
      <c r="AW106" t="b">
        <v>0</v>
      </c>
      <c r="AX106" s="5">
        <v>1</v>
      </c>
      <c r="AY106" s="3"/>
      <c r="AZ106" t="s">
        <v>67</v>
      </c>
      <c r="BA106" t="s">
        <v>67</v>
      </c>
      <c r="BB106" t="s">
        <v>317</v>
      </c>
    </row>
    <row r="107" spans="1:54" x14ac:dyDescent="0.3">
      <c r="A107">
        <v>1</v>
      </c>
      <c r="B107">
        <v>15</v>
      </c>
      <c r="C107" t="s">
        <v>54</v>
      </c>
      <c r="D107" s="3">
        <v>45814.726585648154</v>
      </c>
      <c r="E107" s="8">
        <v>45929</v>
      </c>
      <c r="F107" t="s">
        <v>755</v>
      </c>
      <c r="G107" t="s">
        <v>307</v>
      </c>
      <c r="H107" t="s">
        <v>756</v>
      </c>
      <c r="I107" t="s">
        <v>757</v>
      </c>
      <c r="J107" t="s">
        <v>749</v>
      </c>
      <c r="K107" t="s">
        <v>731</v>
      </c>
      <c r="L107" t="s">
        <v>751</v>
      </c>
      <c r="M107" t="s">
        <v>97</v>
      </c>
      <c r="N107" t="s">
        <v>97</v>
      </c>
      <c r="O107" t="s">
        <v>775</v>
      </c>
      <c r="P107" t="s">
        <v>776</v>
      </c>
      <c r="Q107" s="5">
        <v>1</v>
      </c>
      <c r="R107" s="6">
        <v>61</v>
      </c>
      <c r="S107" s="6">
        <v>61</v>
      </c>
      <c r="T107" s="6">
        <v>22.08</v>
      </c>
      <c r="U107" s="3">
        <v>45933.270833333343</v>
      </c>
      <c r="W107" t="s">
        <v>758</v>
      </c>
      <c r="X107" t="s">
        <v>70</v>
      </c>
      <c r="Y107" t="s">
        <v>68</v>
      </c>
      <c r="Z107" t="s">
        <v>759</v>
      </c>
      <c r="AA107" t="s">
        <v>522</v>
      </c>
      <c r="AB107" t="s">
        <v>67</v>
      </c>
      <c r="AC107" t="s">
        <v>70</v>
      </c>
      <c r="AD107" t="s">
        <v>101</v>
      </c>
      <c r="AE107" t="s">
        <v>220</v>
      </c>
      <c r="AF107" t="s">
        <v>67</v>
      </c>
      <c r="AG107" t="s">
        <v>777</v>
      </c>
      <c r="AH107" t="b">
        <v>0</v>
      </c>
      <c r="AI107" t="b">
        <v>1</v>
      </c>
      <c r="AJ107" t="b">
        <v>1</v>
      </c>
      <c r="AK107" t="b">
        <v>1</v>
      </c>
      <c r="AL107" s="6">
        <v>22.08</v>
      </c>
      <c r="AM107" s="3">
        <v>45933.270833333343</v>
      </c>
      <c r="AN107">
        <v>1</v>
      </c>
      <c r="AO107" s="3"/>
      <c r="AT107" t="b">
        <v>0</v>
      </c>
      <c r="AU107" t="s">
        <v>74</v>
      </c>
      <c r="AV107" t="b">
        <v>1</v>
      </c>
      <c r="AW107" t="b">
        <v>0</v>
      </c>
      <c r="AX107" s="5">
        <v>1</v>
      </c>
      <c r="AY107" s="3"/>
      <c r="AZ107" t="s">
        <v>67</v>
      </c>
      <c r="BA107" t="s">
        <v>67</v>
      </c>
      <c r="BB107" t="s">
        <v>317</v>
      </c>
    </row>
    <row r="108" spans="1:54" x14ac:dyDescent="0.3">
      <c r="A108">
        <v>1</v>
      </c>
      <c r="B108">
        <v>15</v>
      </c>
      <c r="C108" t="s">
        <v>54</v>
      </c>
      <c r="D108" s="3">
        <v>45818.497928240737</v>
      </c>
      <c r="E108" s="8">
        <v>45852</v>
      </c>
      <c r="F108" t="s">
        <v>778</v>
      </c>
      <c r="G108" t="s">
        <v>307</v>
      </c>
      <c r="H108" t="s">
        <v>779</v>
      </c>
      <c r="I108" t="s">
        <v>780</v>
      </c>
      <c r="J108" t="s">
        <v>59</v>
      </c>
      <c r="L108" t="s">
        <v>699</v>
      </c>
      <c r="M108" t="s">
        <v>63</v>
      </c>
      <c r="N108" t="s">
        <v>63</v>
      </c>
      <c r="O108" t="s">
        <v>82</v>
      </c>
      <c r="P108" t="s">
        <v>83</v>
      </c>
      <c r="Q108" s="5">
        <v>1</v>
      </c>
      <c r="R108" s="6">
        <v>140</v>
      </c>
      <c r="S108" s="6">
        <v>140</v>
      </c>
      <c r="T108" s="6">
        <v>93.1</v>
      </c>
      <c r="U108" s="3">
        <v>45904.458333333343</v>
      </c>
      <c r="W108" t="s">
        <v>781</v>
      </c>
      <c r="X108" t="s">
        <v>67</v>
      </c>
      <c r="Y108" t="s">
        <v>68</v>
      </c>
      <c r="Z108" t="s">
        <v>69</v>
      </c>
      <c r="AA108" t="s">
        <v>69</v>
      </c>
      <c r="AB108" t="s">
        <v>67</v>
      </c>
      <c r="AC108" t="s">
        <v>70</v>
      </c>
      <c r="AD108" t="s">
        <v>71</v>
      </c>
      <c r="AE108" t="s">
        <v>84</v>
      </c>
      <c r="AF108" t="s">
        <v>67</v>
      </c>
      <c r="AG108" t="s">
        <v>82</v>
      </c>
      <c r="AH108" t="b">
        <v>0</v>
      </c>
      <c r="AI108" t="b">
        <v>1</v>
      </c>
      <c r="AJ108" t="b">
        <v>0</v>
      </c>
      <c r="AK108" t="b">
        <v>1</v>
      </c>
      <c r="AL108" s="6">
        <v>93.1</v>
      </c>
      <c r="AM108" s="3">
        <v>45891.458333333343</v>
      </c>
      <c r="AN108">
        <v>1</v>
      </c>
      <c r="AO108" s="3"/>
      <c r="AT108" t="b">
        <v>0</v>
      </c>
      <c r="AU108" t="s">
        <v>74</v>
      </c>
      <c r="AV108" t="b">
        <v>1</v>
      </c>
      <c r="AW108" t="b">
        <v>0</v>
      </c>
      <c r="AX108" s="5">
        <v>0</v>
      </c>
      <c r="AY108" s="3"/>
      <c r="AZ108" t="s">
        <v>67</v>
      </c>
      <c r="BA108" t="s">
        <v>67</v>
      </c>
      <c r="BB108" t="s">
        <v>317</v>
      </c>
    </row>
    <row r="109" spans="1:54" x14ac:dyDescent="0.3">
      <c r="A109">
        <v>1</v>
      </c>
      <c r="B109">
        <v>15</v>
      </c>
      <c r="C109" t="s">
        <v>54</v>
      </c>
      <c r="D109" s="3">
        <v>45818.497928240737</v>
      </c>
      <c r="E109" s="8">
        <v>45852</v>
      </c>
      <c r="F109" t="s">
        <v>778</v>
      </c>
      <c r="G109" t="s">
        <v>307</v>
      </c>
      <c r="H109" t="s">
        <v>779</v>
      </c>
      <c r="I109" t="s">
        <v>780</v>
      </c>
      <c r="J109" t="s">
        <v>59</v>
      </c>
      <c r="L109" t="s">
        <v>699</v>
      </c>
      <c r="M109" t="s">
        <v>63</v>
      </c>
      <c r="N109" t="s">
        <v>63</v>
      </c>
      <c r="O109" t="s">
        <v>225</v>
      </c>
      <c r="P109" t="s">
        <v>226</v>
      </c>
      <c r="Q109" s="5">
        <v>2</v>
      </c>
      <c r="R109" s="6">
        <v>71</v>
      </c>
      <c r="S109" s="6">
        <v>142</v>
      </c>
      <c r="T109" s="6">
        <v>51.52</v>
      </c>
      <c r="U109" s="3">
        <v>45904.458333333343</v>
      </c>
      <c r="W109" t="s">
        <v>781</v>
      </c>
      <c r="X109" t="s">
        <v>67</v>
      </c>
      <c r="Y109" t="s">
        <v>68</v>
      </c>
      <c r="Z109" t="s">
        <v>69</v>
      </c>
      <c r="AA109" t="s">
        <v>69</v>
      </c>
      <c r="AB109" t="s">
        <v>67</v>
      </c>
      <c r="AC109" t="s">
        <v>70</v>
      </c>
      <c r="AD109" t="s">
        <v>71</v>
      </c>
      <c r="AE109" t="s">
        <v>220</v>
      </c>
      <c r="AF109" t="s">
        <v>67</v>
      </c>
      <c r="AG109" t="s">
        <v>227</v>
      </c>
      <c r="AH109" t="b">
        <v>0</v>
      </c>
      <c r="AI109" t="b">
        <v>1</v>
      </c>
      <c r="AJ109" t="b">
        <v>0</v>
      </c>
      <c r="AK109" t="b">
        <v>1</v>
      </c>
      <c r="AL109" s="6">
        <v>25.76</v>
      </c>
      <c r="AM109" s="3">
        <v>45891.458333333343</v>
      </c>
      <c r="AN109">
        <v>1</v>
      </c>
      <c r="AO109" s="3"/>
      <c r="AT109" t="b">
        <v>0</v>
      </c>
      <c r="AU109" t="s">
        <v>74</v>
      </c>
      <c r="AV109" t="b">
        <v>1</v>
      </c>
      <c r="AW109" t="b">
        <v>0</v>
      </c>
      <c r="AX109" s="5">
        <v>0</v>
      </c>
      <c r="AY109" s="3"/>
      <c r="AZ109" t="s">
        <v>67</v>
      </c>
      <c r="BA109" t="s">
        <v>67</v>
      </c>
      <c r="BB109" t="s">
        <v>317</v>
      </c>
    </row>
    <row r="110" spans="1:54" x14ac:dyDescent="0.3">
      <c r="A110">
        <v>1</v>
      </c>
      <c r="B110">
        <v>15</v>
      </c>
      <c r="C110" t="s">
        <v>54</v>
      </c>
      <c r="D110" s="3">
        <v>45818.749814814822</v>
      </c>
      <c r="E110" s="8">
        <v>45818</v>
      </c>
      <c r="F110" t="s">
        <v>782</v>
      </c>
      <c r="G110" t="s">
        <v>307</v>
      </c>
      <c r="H110" t="s">
        <v>783</v>
      </c>
      <c r="I110" t="s">
        <v>784</v>
      </c>
      <c r="J110" t="s">
        <v>59</v>
      </c>
      <c r="K110" t="s">
        <v>785</v>
      </c>
      <c r="L110" t="s">
        <v>699</v>
      </c>
      <c r="M110" t="s">
        <v>63</v>
      </c>
      <c r="N110" t="s">
        <v>63</v>
      </c>
      <c r="O110" t="s">
        <v>752</v>
      </c>
      <c r="P110" t="s">
        <v>753</v>
      </c>
      <c r="Q110" s="5">
        <v>3</v>
      </c>
      <c r="R110" s="6">
        <v>80</v>
      </c>
      <c r="S110" s="6">
        <v>240</v>
      </c>
      <c r="T110" s="6">
        <v>0</v>
      </c>
      <c r="U110" s="3">
        <v>46063.520833333343</v>
      </c>
      <c r="W110" t="s">
        <v>786</v>
      </c>
      <c r="X110" t="s">
        <v>70</v>
      </c>
      <c r="Y110" t="s">
        <v>23</v>
      </c>
      <c r="Z110" t="s">
        <v>69</v>
      </c>
      <c r="AA110" t="s">
        <v>69</v>
      </c>
      <c r="AB110" t="s">
        <v>67</v>
      </c>
      <c r="AC110" t="s">
        <v>70</v>
      </c>
      <c r="AD110" t="s">
        <v>71</v>
      </c>
      <c r="AE110" t="s">
        <v>102</v>
      </c>
      <c r="AF110" t="s">
        <v>67</v>
      </c>
      <c r="AG110" t="s">
        <v>752</v>
      </c>
      <c r="AH110" t="b">
        <v>0</v>
      </c>
      <c r="AI110" t="b">
        <v>1</v>
      </c>
      <c r="AJ110" t="b">
        <v>1</v>
      </c>
      <c r="AK110" t="b">
        <v>1</v>
      </c>
      <c r="AL110" s="6">
        <v>0</v>
      </c>
      <c r="AM110" s="3">
        <v>46063.520833333343</v>
      </c>
      <c r="AN110">
        <v>1</v>
      </c>
      <c r="AO110" s="3"/>
      <c r="AT110" t="b">
        <v>0</v>
      </c>
      <c r="AU110" t="s">
        <v>74</v>
      </c>
      <c r="AV110" t="b">
        <v>1</v>
      </c>
      <c r="AW110" t="b">
        <v>0</v>
      </c>
      <c r="AX110" s="5">
        <v>0</v>
      </c>
      <c r="AY110" s="3"/>
      <c r="AZ110" t="s">
        <v>67</v>
      </c>
      <c r="BA110" t="s">
        <v>67</v>
      </c>
      <c r="BB110" t="s">
        <v>317</v>
      </c>
    </row>
    <row r="111" spans="1:54" x14ac:dyDescent="0.3">
      <c r="A111">
        <v>1</v>
      </c>
      <c r="B111">
        <v>15</v>
      </c>
      <c r="C111" t="s">
        <v>54</v>
      </c>
      <c r="D111" s="3">
        <v>45833.399641203701</v>
      </c>
      <c r="E111" s="8">
        <v>45833</v>
      </c>
      <c r="F111" t="s">
        <v>787</v>
      </c>
      <c r="G111" t="s">
        <v>307</v>
      </c>
      <c r="H111" t="s">
        <v>788</v>
      </c>
      <c r="I111" t="s">
        <v>789</v>
      </c>
      <c r="J111" t="s">
        <v>593</v>
      </c>
      <c r="K111" t="s">
        <v>790</v>
      </c>
      <c r="L111" t="s">
        <v>595</v>
      </c>
      <c r="M111" t="s">
        <v>312</v>
      </c>
      <c r="N111" t="s">
        <v>312</v>
      </c>
      <c r="O111" t="s">
        <v>313</v>
      </c>
      <c r="P111" t="s">
        <v>314</v>
      </c>
      <c r="Q111" s="5">
        <v>1</v>
      </c>
      <c r="R111" s="6">
        <v>100</v>
      </c>
      <c r="S111" s="6">
        <v>100</v>
      </c>
      <c r="T111" s="6">
        <v>0</v>
      </c>
      <c r="U111" s="3">
        <v>45906.25</v>
      </c>
      <c r="W111" t="s">
        <v>791</v>
      </c>
      <c r="X111" t="s">
        <v>70</v>
      </c>
      <c r="Y111" t="s">
        <v>23</v>
      </c>
      <c r="Z111" t="s">
        <v>69</v>
      </c>
      <c r="AA111" t="s">
        <v>69</v>
      </c>
      <c r="AB111" t="s">
        <v>67</v>
      </c>
      <c r="AC111" t="s">
        <v>70</v>
      </c>
      <c r="AD111" t="s">
        <v>316</v>
      </c>
      <c r="AE111" t="s">
        <v>102</v>
      </c>
      <c r="AF111" t="s">
        <v>67</v>
      </c>
      <c r="AH111" t="b">
        <v>1</v>
      </c>
      <c r="AI111" t="b">
        <v>0</v>
      </c>
      <c r="AJ111" t="b">
        <v>0</v>
      </c>
      <c r="AK111" t="b">
        <v>0</v>
      </c>
      <c r="AL111" s="6">
        <v>0</v>
      </c>
      <c r="AM111" s="3">
        <v>45890.229166666657</v>
      </c>
      <c r="AN111">
        <v>1</v>
      </c>
      <c r="AO111" s="3"/>
      <c r="AT111" t="b">
        <v>0</v>
      </c>
      <c r="AU111" t="s">
        <v>74</v>
      </c>
      <c r="AV111" t="b">
        <v>1</v>
      </c>
      <c r="AW111" t="b">
        <v>0</v>
      </c>
      <c r="AX111" s="5">
        <v>0</v>
      </c>
      <c r="AY111" s="3"/>
      <c r="AZ111" t="s">
        <v>67</v>
      </c>
      <c r="BA111" t="s">
        <v>67</v>
      </c>
      <c r="BB111" t="s">
        <v>317</v>
      </c>
    </row>
    <row r="112" spans="1:54" x14ac:dyDescent="0.3">
      <c r="A112">
        <v>1</v>
      </c>
      <c r="B112">
        <v>15</v>
      </c>
      <c r="C112" t="s">
        <v>54</v>
      </c>
      <c r="D112" s="3">
        <v>45833.400590277779</v>
      </c>
      <c r="E112" s="8">
        <v>45833</v>
      </c>
      <c r="F112" t="s">
        <v>792</v>
      </c>
      <c r="G112" t="s">
        <v>307</v>
      </c>
      <c r="H112" t="s">
        <v>788</v>
      </c>
      <c r="I112" t="s">
        <v>789</v>
      </c>
      <c r="J112" t="s">
        <v>593</v>
      </c>
      <c r="K112" t="s">
        <v>790</v>
      </c>
      <c r="L112" t="s">
        <v>595</v>
      </c>
      <c r="M112" t="s">
        <v>312</v>
      </c>
      <c r="N112" t="s">
        <v>312</v>
      </c>
      <c r="O112" t="s">
        <v>313</v>
      </c>
      <c r="P112" t="s">
        <v>314</v>
      </c>
      <c r="Q112" s="5">
        <v>1</v>
      </c>
      <c r="R112" s="6">
        <v>100</v>
      </c>
      <c r="S112" s="6">
        <v>100</v>
      </c>
      <c r="T112" s="6">
        <v>0</v>
      </c>
      <c r="U112" s="3">
        <v>45906.25</v>
      </c>
      <c r="W112" t="s">
        <v>791</v>
      </c>
      <c r="X112" t="s">
        <v>70</v>
      </c>
      <c r="Y112" t="s">
        <v>23</v>
      </c>
      <c r="Z112" t="s">
        <v>69</v>
      </c>
      <c r="AA112" t="s">
        <v>69</v>
      </c>
      <c r="AB112" t="s">
        <v>67</v>
      </c>
      <c r="AC112" t="s">
        <v>70</v>
      </c>
      <c r="AD112" t="s">
        <v>316</v>
      </c>
      <c r="AE112" t="s">
        <v>102</v>
      </c>
      <c r="AF112" t="s">
        <v>67</v>
      </c>
      <c r="AH112" t="b">
        <v>1</v>
      </c>
      <c r="AI112" t="b">
        <v>0</v>
      </c>
      <c r="AJ112" t="b">
        <v>0</v>
      </c>
      <c r="AK112" t="b">
        <v>0</v>
      </c>
      <c r="AL112" s="6">
        <v>0</v>
      </c>
      <c r="AM112" s="3">
        <v>45890.229166666657</v>
      </c>
      <c r="AN112">
        <v>1</v>
      </c>
      <c r="AO112" s="3"/>
      <c r="AT112" t="b">
        <v>0</v>
      </c>
      <c r="AU112" t="s">
        <v>74</v>
      </c>
      <c r="AV112" t="b">
        <v>1</v>
      </c>
      <c r="AW112" t="b">
        <v>0</v>
      </c>
      <c r="AX112" s="5">
        <v>0</v>
      </c>
      <c r="AY112" s="3"/>
      <c r="AZ112" t="s">
        <v>67</v>
      </c>
      <c r="BA112" t="s">
        <v>67</v>
      </c>
      <c r="BB112" t="s">
        <v>317</v>
      </c>
    </row>
    <row r="113" spans="1:54" x14ac:dyDescent="0.3">
      <c r="A113">
        <v>1</v>
      </c>
      <c r="B113">
        <v>15</v>
      </c>
      <c r="C113" t="s">
        <v>54</v>
      </c>
      <c r="D113" s="3">
        <v>45833.408935185187</v>
      </c>
      <c r="E113" s="8">
        <v>45833</v>
      </c>
      <c r="F113" t="s">
        <v>793</v>
      </c>
      <c r="G113" t="s">
        <v>307</v>
      </c>
      <c r="H113" t="s">
        <v>794</v>
      </c>
      <c r="I113" t="s">
        <v>795</v>
      </c>
      <c r="J113" t="s">
        <v>593</v>
      </c>
      <c r="K113" t="s">
        <v>796</v>
      </c>
      <c r="L113" t="s">
        <v>595</v>
      </c>
      <c r="M113" t="s">
        <v>312</v>
      </c>
      <c r="N113" t="s">
        <v>312</v>
      </c>
      <c r="O113" t="s">
        <v>313</v>
      </c>
      <c r="P113" t="s">
        <v>314</v>
      </c>
      <c r="Q113" s="5">
        <v>1</v>
      </c>
      <c r="R113" s="6">
        <v>100</v>
      </c>
      <c r="S113" s="6">
        <v>100</v>
      </c>
      <c r="T113" s="6">
        <v>0</v>
      </c>
      <c r="U113" s="3">
        <v>46036.458333333343</v>
      </c>
      <c r="W113" t="s">
        <v>797</v>
      </c>
      <c r="X113" t="s">
        <v>70</v>
      </c>
      <c r="Y113" t="s">
        <v>23</v>
      </c>
      <c r="Z113" t="s">
        <v>69</v>
      </c>
      <c r="AA113" t="s">
        <v>69</v>
      </c>
      <c r="AB113" t="s">
        <v>70</v>
      </c>
      <c r="AC113" t="s">
        <v>70</v>
      </c>
      <c r="AD113" t="s">
        <v>316</v>
      </c>
      <c r="AE113" t="s">
        <v>102</v>
      </c>
      <c r="AF113" t="s">
        <v>67</v>
      </c>
      <c r="AH113" t="b">
        <v>1</v>
      </c>
      <c r="AI113" t="b">
        <v>1</v>
      </c>
      <c r="AJ113" t="b">
        <v>0</v>
      </c>
      <c r="AK113" t="b">
        <v>1</v>
      </c>
      <c r="AL113" s="6">
        <v>0</v>
      </c>
      <c r="AM113" s="3">
        <v>46036.458333333343</v>
      </c>
      <c r="AN113">
        <v>1</v>
      </c>
      <c r="AO113" s="3"/>
      <c r="AT113" t="b">
        <v>0</v>
      </c>
      <c r="AU113" t="s">
        <v>74</v>
      </c>
      <c r="AV113" t="b">
        <v>1</v>
      </c>
      <c r="AW113" t="b">
        <v>0</v>
      </c>
      <c r="AX113" s="5">
        <v>0</v>
      </c>
      <c r="AY113" s="3"/>
      <c r="AZ113" t="s">
        <v>67</v>
      </c>
      <c r="BA113" t="s">
        <v>67</v>
      </c>
      <c r="BB113" t="s">
        <v>317</v>
      </c>
    </row>
    <row r="114" spans="1:54" x14ac:dyDescent="0.3">
      <c r="A114">
        <v>1</v>
      </c>
      <c r="B114">
        <v>15</v>
      </c>
      <c r="C114" t="s">
        <v>54</v>
      </c>
      <c r="D114" s="3">
        <v>45833.420590277783</v>
      </c>
      <c r="E114" s="8">
        <v>45833</v>
      </c>
      <c r="F114" t="s">
        <v>798</v>
      </c>
      <c r="G114" t="s">
        <v>307</v>
      </c>
      <c r="H114" t="s">
        <v>799</v>
      </c>
      <c r="I114" t="s">
        <v>800</v>
      </c>
      <c r="J114" t="s">
        <v>593</v>
      </c>
      <c r="K114" t="s">
        <v>801</v>
      </c>
      <c r="L114" t="s">
        <v>595</v>
      </c>
      <c r="M114" t="s">
        <v>312</v>
      </c>
      <c r="N114" t="s">
        <v>312</v>
      </c>
      <c r="O114" t="s">
        <v>313</v>
      </c>
      <c r="P114" t="s">
        <v>314</v>
      </c>
      <c r="Q114" s="5">
        <v>1</v>
      </c>
      <c r="R114" s="6">
        <v>100</v>
      </c>
      <c r="S114" s="6">
        <v>100</v>
      </c>
      <c r="T114" s="6">
        <v>0</v>
      </c>
      <c r="U114" s="3">
        <v>45972.34375</v>
      </c>
      <c r="W114" t="s">
        <v>802</v>
      </c>
      <c r="X114" t="s">
        <v>70</v>
      </c>
      <c r="Y114" t="s">
        <v>23</v>
      </c>
      <c r="Z114" t="s">
        <v>69</v>
      </c>
      <c r="AA114" t="s">
        <v>69</v>
      </c>
      <c r="AB114" t="s">
        <v>67</v>
      </c>
      <c r="AC114" t="s">
        <v>67</v>
      </c>
      <c r="AD114" t="s">
        <v>316</v>
      </c>
      <c r="AE114" t="s">
        <v>102</v>
      </c>
      <c r="AF114" t="s">
        <v>67</v>
      </c>
      <c r="AH114" t="b">
        <v>1</v>
      </c>
      <c r="AI114" t="b">
        <v>1</v>
      </c>
      <c r="AJ114" t="b">
        <v>0</v>
      </c>
      <c r="AK114" t="b">
        <v>1</v>
      </c>
      <c r="AL114" s="6">
        <v>0</v>
      </c>
      <c r="AM114" s="3">
        <v>45854.4375</v>
      </c>
      <c r="AN114">
        <v>1</v>
      </c>
      <c r="AO114" s="3"/>
      <c r="AT114" t="b">
        <v>0</v>
      </c>
      <c r="AU114" t="s">
        <v>74</v>
      </c>
      <c r="AV114" t="b">
        <v>1</v>
      </c>
      <c r="AW114" t="b">
        <v>0</v>
      </c>
      <c r="AX114" s="5">
        <v>0</v>
      </c>
      <c r="AY114" s="3"/>
      <c r="AZ114" t="s">
        <v>67</v>
      </c>
      <c r="BA114" t="s">
        <v>67</v>
      </c>
      <c r="BB114" t="s">
        <v>317</v>
      </c>
    </row>
    <row r="115" spans="1:54" x14ac:dyDescent="0.3">
      <c r="A115">
        <v>1</v>
      </c>
      <c r="B115">
        <v>15</v>
      </c>
      <c r="C115" t="s">
        <v>54</v>
      </c>
      <c r="D115" s="3">
        <v>45833.425000000003</v>
      </c>
      <c r="E115" s="8">
        <v>45833</v>
      </c>
      <c r="F115" t="s">
        <v>803</v>
      </c>
      <c r="G115" t="s">
        <v>307</v>
      </c>
      <c r="H115" t="s">
        <v>804</v>
      </c>
      <c r="I115" t="s">
        <v>805</v>
      </c>
      <c r="J115" t="s">
        <v>593</v>
      </c>
      <c r="L115" t="s">
        <v>595</v>
      </c>
      <c r="M115" t="s">
        <v>312</v>
      </c>
      <c r="N115" t="s">
        <v>312</v>
      </c>
      <c r="O115" t="s">
        <v>313</v>
      </c>
      <c r="P115" t="s">
        <v>314</v>
      </c>
      <c r="Q115" s="5">
        <v>1</v>
      </c>
      <c r="R115" s="6">
        <v>100</v>
      </c>
      <c r="S115" s="6">
        <v>100</v>
      </c>
      <c r="T115" s="6">
        <v>0</v>
      </c>
      <c r="U115" s="3">
        <v>46253.25</v>
      </c>
      <c r="W115" t="s">
        <v>806</v>
      </c>
      <c r="X115" t="s">
        <v>70</v>
      </c>
      <c r="Y115" t="s">
        <v>23</v>
      </c>
      <c r="Z115" t="s">
        <v>69</v>
      </c>
      <c r="AA115" t="s">
        <v>69</v>
      </c>
      <c r="AB115" t="s">
        <v>67</v>
      </c>
      <c r="AC115" t="s">
        <v>70</v>
      </c>
      <c r="AD115" t="s">
        <v>316</v>
      </c>
      <c r="AE115" t="s">
        <v>102</v>
      </c>
      <c r="AF115" t="s">
        <v>67</v>
      </c>
      <c r="AH115" t="b">
        <v>1</v>
      </c>
      <c r="AI115" t="b">
        <v>0</v>
      </c>
      <c r="AJ115" t="b">
        <v>0</v>
      </c>
      <c r="AK115" t="b">
        <v>0</v>
      </c>
      <c r="AL115" s="6">
        <v>0</v>
      </c>
      <c r="AM115" s="3">
        <v>45835.236111111109</v>
      </c>
      <c r="AN115">
        <v>1</v>
      </c>
      <c r="AO115" s="3"/>
      <c r="AT115" t="b">
        <v>0</v>
      </c>
      <c r="AU115" t="s">
        <v>74</v>
      </c>
      <c r="AV115" t="b">
        <v>1</v>
      </c>
      <c r="AW115" t="b">
        <v>0</v>
      </c>
      <c r="AX115" s="5">
        <v>0</v>
      </c>
      <c r="AY115" s="3"/>
      <c r="AZ115" t="s">
        <v>67</v>
      </c>
      <c r="BA115" t="s">
        <v>67</v>
      </c>
      <c r="BB115" t="s">
        <v>317</v>
      </c>
    </row>
    <row r="116" spans="1:54" x14ac:dyDescent="0.3">
      <c r="A116">
        <v>1</v>
      </c>
      <c r="B116">
        <v>15</v>
      </c>
      <c r="C116" t="s">
        <v>54</v>
      </c>
      <c r="D116" s="3">
        <v>45833.440648148149</v>
      </c>
      <c r="E116" s="8">
        <v>45833</v>
      </c>
      <c r="F116" t="s">
        <v>807</v>
      </c>
      <c r="G116" t="s">
        <v>307</v>
      </c>
      <c r="H116" t="s">
        <v>808</v>
      </c>
      <c r="I116" t="s">
        <v>809</v>
      </c>
      <c r="J116" t="s">
        <v>593</v>
      </c>
      <c r="K116" t="s">
        <v>810</v>
      </c>
      <c r="L116" t="s">
        <v>600</v>
      </c>
      <c r="M116" t="s">
        <v>312</v>
      </c>
      <c r="N116" t="s">
        <v>312</v>
      </c>
      <c r="O116" t="s">
        <v>313</v>
      </c>
      <c r="P116" t="s">
        <v>314</v>
      </c>
      <c r="Q116" s="5">
        <v>1</v>
      </c>
      <c r="R116" s="6">
        <v>100</v>
      </c>
      <c r="S116" s="6">
        <v>100</v>
      </c>
      <c r="T116" s="6">
        <v>0</v>
      </c>
      <c r="U116" s="3">
        <v>46195.5625</v>
      </c>
      <c r="W116" t="s">
        <v>811</v>
      </c>
      <c r="X116" t="s">
        <v>70</v>
      </c>
      <c r="Y116" t="s">
        <v>23</v>
      </c>
      <c r="Z116" t="s">
        <v>69</v>
      </c>
      <c r="AA116" t="s">
        <v>69</v>
      </c>
      <c r="AB116" t="s">
        <v>67</v>
      </c>
      <c r="AC116" t="s">
        <v>70</v>
      </c>
      <c r="AD116" t="s">
        <v>316</v>
      </c>
      <c r="AE116" t="s">
        <v>102</v>
      </c>
      <c r="AF116" t="s">
        <v>67</v>
      </c>
      <c r="AH116" t="b">
        <v>1</v>
      </c>
      <c r="AI116" t="b">
        <v>1</v>
      </c>
      <c r="AJ116" t="b">
        <v>0</v>
      </c>
      <c r="AK116" t="b">
        <v>1</v>
      </c>
      <c r="AL116" s="6">
        <v>0</v>
      </c>
      <c r="AM116" s="3">
        <v>45834.479166666657</v>
      </c>
      <c r="AN116">
        <v>1</v>
      </c>
      <c r="AO116" s="3"/>
      <c r="AT116" t="b">
        <v>0</v>
      </c>
      <c r="AU116" t="s">
        <v>74</v>
      </c>
      <c r="AV116" t="b">
        <v>1</v>
      </c>
      <c r="AW116" t="b">
        <v>0</v>
      </c>
      <c r="AX116" s="5">
        <v>0</v>
      </c>
      <c r="AY116" s="3"/>
      <c r="AZ116" t="s">
        <v>67</v>
      </c>
      <c r="BA116" t="s">
        <v>67</v>
      </c>
      <c r="BB116" t="s">
        <v>317</v>
      </c>
    </row>
    <row r="117" spans="1:54" x14ac:dyDescent="0.3">
      <c r="A117">
        <v>1</v>
      </c>
      <c r="B117">
        <v>15</v>
      </c>
      <c r="C117" t="s">
        <v>54</v>
      </c>
      <c r="D117" s="3">
        <v>45833.45008101852</v>
      </c>
      <c r="E117" s="8">
        <v>45833</v>
      </c>
      <c r="F117" t="s">
        <v>812</v>
      </c>
      <c r="G117" t="s">
        <v>307</v>
      </c>
      <c r="H117" t="s">
        <v>813</v>
      </c>
      <c r="I117" t="s">
        <v>814</v>
      </c>
      <c r="J117" t="s">
        <v>593</v>
      </c>
      <c r="K117" t="s">
        <v>594</v>
      </c>
      <c r="L117" t="s">
        <v>595</v>
      </c>
      <c r="M117" t="s">
        <v>312</v>
      </c>
      <c r="N117" t="s">
        <v>312</v>
      </c>
      <c r="O117" t="s">
        <v>313</v>
      </c>
      <c r="P117" t="s">
        <v>314</v>
      </c>
      <c r="Q117" s="5">
        <v>1</v>
      </c>
      <c r="R117" s="6">
        <v>100</v>
      </c>
      <c r="S117" s="6">
        <v>100</v>
      </c>
      <c r="T117" s="6">
        <v>0</v>
      </c>
      <c r="U117" s="3">
        <v>45891.25</v>
      </c>
      <c r="W117" t="s">
        <v>815</v>
      </c>
      <c r="X117" t="s">
        <v>70</v>
      </c>
      <c r="Y117" t="s">
        <v>23</v>
      </c>
      <c r="Z117" t="s">
        <v>69</v>
      </c>
      <c r="AA117" t="s">
        <v>69</v>
      </c>
      <c r="AB117" t="s">
        <v>67</v>
      </c>
      <c r="AC117" t="s">
        <v>70</v>
      </c>
      <c r="AD117" t="s">
        <v>316</v>
      </c>
      <c r="AE117" t="s">
        <v>102</v>
      </c>
      <c r="AF117" t="s">
        <v>67</v>
      </c>
      <c r="AH117" t="b">
        <v>1</v>
      </c>
      <c r="AI117" t="b">
        <v>1</v>
      </c>
      <c r="AJ117" t="b">
        <v>0</v>
      </c>
      <c r="AK117" t="b">
        <v>1</v>
      </c>
      <c r="AL117" s="6">
        <v>0</v>
      </c>
      <c r="AM117" s="3">
        <v>45891.25</v>
      </c>
      <c r="AN117">
        <v>1</v>
      </c>
      <c r="AO117" s="3"/>
      <c r="AT117" t="b">
        <v>0</v>
      </c>
      <c r="AU117" t="s">
        <v>74</v>
      </c>
      <c r="AV117" t="b">
        <v>1</v>
      </c>
      <c r="AW117" t="b">
        <v>0</v>
      </c>
      <c r="AX117" s="5">
        <v>0</v>
      </c>
      <c r="AY117" s="3"/>
      <c r="AZ117" t="s">
        <v>67</v>
      </c>
      <c r="BA117" t="s">
        <v>67</v>
      </c>
      <c r="BB117" t="s">
        <v>317</v>
      </c>
    </row>
    <row r="118" spans="1:54" x14ac:dyDescent="0.3">
      <c r="A118">
        <v>1</v>
      </c>
      <c r="B118">
        <v>15</v>
      </c>
      <c r="C118" t="s">
        <v>54</v>
      </c>
      <c r="D118" s="3">
        <v>45833.460648148153</v>
      </c>
      <c r="E118" s="8">
        <v>45833</v>
      </c>
      <c r="F118" t="s">
        <v>816</v>
      </c>
      <c r="G118" t="s">
        <v>307</v>
      </c>
      <c r="H118" t="s">
        <v>817</v>
      </c>
      <c r="I118" t="s">
        <v>818</v>
      </c>
      <c r="J118" t="s">
        <v>593</v>
      </c>
      <c r="K118" t="s">
        <v>629</v>
      </c>
      <c r="L118" t="s">
        <v>600</v>
      </c>
      <c r="M118" t="s">
        <v>312</v>
      </c>
      <c r="N118" t="s">
        <v>312</v>
      </c>
      <c r="O118" t="s">
        <v>313</v>
      </c>
      <c r="P118" t="s">
        <v>314</v>
      </c>
      <c r="Q118" s="5">
        <v>4</v>
      </c>
      <c r="R118" s="6">
        <v>100</v>
      </c>
      <c r="S118" s="6">
        <v>400</v>
      </c>
      <c r="T118" s="6">
        <v>0</v>
      </c>
      <c r="U118" s="3">
        <v>45890.458333333343</v>
      </c>
      <c r="W118" t="s">
        <v>819</v>
      </c>
      <c r="X118" t="s">
        <v>70</v>
      </c>
      <c r="Y118" t="s">
        <v>23</v>
      </c>
      <c r="Z118" t="s">
        <v>69</v>
      </c>
      <c r="AA118" t="s">
        <v>69</v>
      </c>
      <c r="AB118" t="s">
        <v>67</v>
      </c>
      <c r="AC118" t="s">
        <v>70</v>
      </c>
      <c r="AD118" t="s">
        <v>316</v>
      </c>
      <c r="AE118" t="s">
        <v>102</v>
      </c>
      <c r="AF118" t="s">
        <v>67</v>
      </c>
      <c r="AH118" t="b">
        <v>1</v>
      </c>
      <c r="AI118" t="b">
        <v>1</v>
      </c>
      <c r="AJ118" t="b">
        <v>0</v>
      </c>
      <c r="AK118" t="b">
        <v>1</v>
      </c>
      <c r="AL118" s="6">
        <v>0</v>
      </c>
      <c r="AM118" s="3">
        <v>45890.458333333343</v>
      </c>
      <c r="AN118">
        <v>1</v>
      </c>
      <c r="AO118" s="3"/>
      <c r="AT118" t="b">
        <v>0</v>
      </c>
      <c r="AU118" t="s">
        <v>74</v>
      </c>
      <c r="AV118" t="b">
        <v>1</v>
      </c>
      <c r="AW118" t="b">
        <v>0</v>
      </c>
      <c r="AX118" s="5">
        <v>0</v>
      </c>
      <c r="AY118" s="3"/>
      <c r="AZ118" t="s">
        <v>67</v>
      </c>
      <c r="BA118" t="s">
        <v>67</v>
      </c>
      <c r="BB118" t="s">
        <v>317</v>
      </c>
    </row>
    <row r="119" spans="1:54" x14ac:dyDescent="0.3">
      <c r="A119">
        <v>1</v>
      </c>
      <c r="B119">
        <v>15</v>
      </c>
      <c r="C119" t="s">
        <v>54</v>
      </c>
      <c r="D119" s="3">
        <v>45833.495972222219</v>
      </c>
      <c r="E119" s="8">
        <v>45833</v>
      </c>
      <c r="F119" t="s">
        <v>820</v>
      </c>
      <c r="G119" t="s">
        <v>307</v>
      </c>
      <c r="H119" t="s">
        <v>821</v>
      </c>
      <c r="I119" t="s">
        <v>822</v>
      </c>
      <c r="J119" t="s">
        <v>593</v>
      </c>
      <c r="L119" t="s">
        <v>595</v>
      </c>
      <c r="M119" t="s">
        <v>312</v>
      </c>
      <c r="N119" t="s">
        <v>312</v>
      </c>
      <c r="O119" t="s">
        <v>313</v>
      </c>
      <c r="P119" t="s">
        <v>314</v>
      </c>
      <c r="Q119" s="5">
        <v>4</v>
      </c>
      <c r="R119" s="6">
        <v>100</v>
      </c>
      <c r="S119" s="6">
        <v>400</v>
      </c>
      <c r="T119" s="6">
        <v>0</v>
      </c>
      <c r="U119" s="3">
        <v>45877.458333333343</v>
      </c>
      <c r="W119" t="s">
        <v>823</v>
      </c>
      <c r="X119" t="s">
        <v>70</v>
      </c>
      <c r="Y119" t="s">
        <v>23</v>
      </c>
      <c r="Z119" t="s">
        <v>69</v>
      </c>
      <c r="AA119" t="s">
        <v>69</v>
      </c>
      <c r="AB119" t="s">
        <v>67</v>
      </c>
      <c r="AC119" t="s">
        <v>70</v>
      </c>
      <c r="AD119" t="s">
        <v>316</v>
      </c>
      <c r="AE119" t="s">
        <v>102</v>
      </c>
      <c r="AF119" t="s">
        <v>67</v>
      </c>
      <c r="AH119" t="b">
        <v>1</v>
      </c>
      <c r="AI119" t="b">
        <v>1</v>
      </c>
      <c r="AJ119" t="b">
        <v>0</v>
      </c>
      <c r="AK119" t="b">
        <v>1</v>
      </c>
      <c r="AL119" s="6">
        <v>0</v>
      </c>
      <c r="AM119" s="3">
        <v>45856.229166666657</v>
      </c>
      <c r="AN119">
        <v>1</v>
      </c>
      <c r="AO119" s="3"/>
      <c r="AT119" t="b">
        <v>0</v>
      </c>
      <c r="AU119" t="s">
        <v>74</v>
      </c>
      <c r="AV119" t="b">
        <v>1</v>
      </c>
      <c r="AW119" t="b">
        <v>0</v>
      </c>
      <c r="AX119" s="5">
        <v>0</v>
      </c>
      <c r="AY119" s="3"/>
      <c r="AZ119" t="s">
        <v>67</v>
      </c>
      <c r="BA119" t="s">
        <v>67</v>
      </c>
      <c r="BB119" t="s">
        <v>317</v>
      </c>
    </row>
    <row r="120" spans="1:54" x14ac:dyDescent="0.3">
      <c r="A120">
        <v>1</v>
      </c>
      <c r="B120">
        <v>15</v>
      </c>
      <c r="C120" t="s">
        <v>54</v>
      </c>
      <c r="D120" s="3">
        <v>45833.624351851853</v>
      </c>
      <c r="E120" s="8">
        <v>45833</v>
      </c>
      <c r="F120" t="s">
        <v>824</v>
      </c>
      <c r="G120" t="s">
        <v>307</v>
      </c>
      <c r="H120" t="s">
        <v>825</v>
      </c>
      <c r="I120" t="s">
        <v>826</v>
      </c>
      <c r="J120" t="s">
        <v>593</v>
      </c>
      <c r="K120" t="s">
        <v>827</v>
      </c>
      <c r="L120" t="s">
        <v>600</v>
      </c>
      <c r="M120" t="s">
        <v>312</v>
      </c>
      <c r="N120" t="s">
        <v>312</v>
      </c>
      <c r="O120" t="s">
        <v>313</v>
      </c>
      <c r="P120" t="s">
        <v>314</v>
      </c>
      <c r="Q120" s="5">
        <v>1</v>
      </c>
      <c r="R120" s="6">
        <v>100</v>
      </c>
      <c r="S120" s="6">
        <v>100</v>
      </c>
      <c r="T120" s="6">
        <v>0</v>
      </c>
      <c r="U120" s="3">
        <v>46301.458333333343</v>
      </c>
      <c r="W120" t="s">
        <v>828</v>
      </c>
      <c r="X120" t="s">
        <v>70</v>
      </c>
      <c r="Y120" t="s">
        <v>23</v>
      </c>
      <c r="Z120" t="s">
        <v>69</v>
      </c>
      <c r="AA120" t="s">
        <v>69</v>
      </c>
      <c r="AB120" t="s">
        <v>67</v>
      </c>
      <c r="AC120" t="s">
        <v>70</v>
      </c>
      <c r="AD120" t="s">
        <v>316</v>
      </c>
      <c r="AE120" t="s">
        <v>102</v>
      </c>
      <c r="AF120" t="s">
        <v>67</v>
      </c>
      <c r="AH120" t="b">
        <v>1</v>
      </c>
      <c r="AI120" t="b">
        <v>1</v>
      </c>
      <c r="AJ120" t="b">
        <v>0</v>
      </c>
      <c r="AK120" t="b">
        <v>1</v>
      </c>
      <c r="AL120" s="6">
        <v>0</v>
      </c>
      <c r="AM120" s="3">
        <v>46136.208333333343</v>
      </c>
      <c r="AN120">
        <v>1</v>
      </c>
      <c r="AO120" s="3"/>
      <c r="AT120" t="b">
        <v>0</v>
      </c>
      <c r="AU120" t="s">
        <v>74</v>
      </c>
      <c r="AV120" t="b">
        <v>1</v>
      </c>
      <c r="AW120" t="b">
        <v>0</v>
      </c>
      <c r="AX120" s="5">
        <v>0</v>
      </c>
      <c r="AY120" s="3"/>
      <c r="AZ120" t="s">
        <v>67</v>
      </c>
      <c r="BA120" t="s">
        <v>67</v>
      </c>
      <c r="BB120" t="s">
        <v>317</v>
      </c>
    </row>
    <row r="121" spans="1:54" x14ac:dyDescent="0.3">
      <c r="A121">
        <v>1</v>
      </c>
      <c r="B121">
        <v>15</v>
      </c>
      <c r="C121" t="s">
        <v>54</v>
      </c>
      <c r="D121" s="3">
        <v>45833.641238425917</v>
      </c>
      <c r="E121" s="8">
        <v>45833</v>
      </c>
      <c r="F121" t="s">
        <v>829</v>
      </c>
      <c r="G121" t="s">
        <v>307</v>
      </c>
      <c r="H121" t="s">
        <v>830</v>
      </c>
      <c r="I121" t="s">
        <v>831</v>
      </c>
      <c r="J121" t="s">
        <v>593</v>
      </c>
      <c r="L121" t="s">
        <v>595</v>
      </c>
      <c r="M121" t="s">
        <v>312</v>
      </c>
      <c r="N121" t="s">
        <v>312</v>
      </c>
      <c r="O121" t="s">
        <v>313</v>
      </c>
      <c r="P121" t="s">
        <v>314</v>
      </c>
      <c r="Q121" s="5">
        <v>1</v>
      </c>
      <c r="R121" s="6">
        <v>100</v>
      </c>
      <c r="S121" s="6">
        <v>100</v>
      </c>
      <c r="T121" s="6">
        <v>0</v>
      </c>
      <c r="U121" s="3">
        <v>46064.25</v>
      </c>
      <c r="W121" t="s">
        <v>832</v>
      </c>
      <c r="X121" t="s">
        <v>70</v>
      </c>
      <c r="Y121" t="s">
        <v>23</v>
      </c>
      <c r="Z121" t="s">
        <v>69</v>
      </c>
      <c r="AA121" t="s">
        <v>69</v>
      </c>
      <c r="AB121" t="s">
        <v>67</v>
      </c>
      <c r="AC121" t="s">
        <v>70</v>
      </c>
      <c r="AD121" t="s">
        <v>316</v>
      </c>
      <c r="AE121" t="s">
        <v>102</v>
      </c>
      <c r="AF121" t="s">
        <v>67</v>
      </c>
      <c r="AH121" t="b">
        <v>1</v>
      </c>
      <c r="AI121" t="b">
        <v>1</v>
      </c>
      <c r="AJ121" t="b">
        <v>0</v>
      </c>
      <c r="AK121" t="b">
        <v>1</v>
      </c>
      <c r="AL121" s="6">
        <v>0</v>
      </c>
      <c r="AM121" s="3">
        <v>46037.458333333343</v>
      </c>
      <c r="AN121">
        <v>1</v>
      </c>
      <c r="AO121" s="3"/>
      <c r="AT121" t="b">
        <v>0</v>
      </c>
      <c r="AU121" t="s">
        <v>74</v>
      </c>
      <c r="AV121" t="b">
        <v>1</v>
      </c>
      <c r="AW121" t="b">
        <v>0</v>
      </c>
      <c r="AX121" s="5">
        <v>0</v>
      </c>
      <c r="AY121" s="3"/>
      <c r="AZ121" t="s">
        <v>67</v>
      </c>
      <c r="BA121" t="s">
        <v>67</v>
      </c>
      <c r="BB121" t="s">
        <v>317</v>
      </c>
    </row>
    <row r="122" spans="1:54" x14ac:dyDescent="0.3">
      <c r="A122">
        <v>1</v>
      </c>
      <c r="B122">
        <v>15</v>
      </c>
      <c r="C122" t="s">
        <v>54</v>
      </c>
      <c r="D122" s="3">
        <v>45834.610300925917</v>
      </c>
      <c r="E122" s="8">
        <v>45834</v>
      </c>
      <c r="F122" t="s">
        <v>833</v>
      </c>
      <c r="G122" t="s">
        <v>307</v>
      </c>
      <c r="H122" t="s">
        <v>834</v>
      </c>
      <c r="I122" t="s">
        <v>835</v>
      </c>
      <c r="J122" t="s">
        <v>593</v>
      </c>
      <c r="K122" t="s">
        <v>714</v>
      </c>
      <c r="L122" t="s">
        <v>600</v>
      </c>
      <c r="M122" t="s">
        <v>312</v>
      </c>
      <c r="N122" t="s">
        <v>312</v>
      </c>
      <c r="O122" t="s">
        <v>313</v>
      </c>
      <c r="P122" t="s">
        <v>314</v>
      </c>
      <c r="Q122" s="5">
        <v>1</v>
      </c>
      <c r="R122" s="6">
        <v>100</v>
      </c>
      <c r="S122" s="6">
        <v>100</v>
      </c>
      <c r="T122" s="6">
        <v>0</v>
      </c>
      <c r="U122" s="3">
        <v>45968.46875</v>
      </c>
      <c r="W122" t="s">
        <v>836</v>
      </c>
      <c r="X122" t="s">
        <v>70</v>
      </c>
      <c r="Y122" t="s">
        <v>23</v>
      </c>
      <c r="Z122" t="s">
        <v>69</v>
      </c>
      <c r="AA122" t="s">
        <v>69</v>
      </c>
      <c r="AB122" t="s">
        <v>67</v>
      </c>
      <c r="AC122" t="s">
        <v>70</v>
      </c>
      <c r="AD122" t="s">
        <v>316</v>
      </c>
      <c r="AE122" t="s">
        <v>102</v>
      </c>
      <c r="AF122" t="s">
        <v>67</v>
      </c>
      <c r="AH122" t="b">
        <v>1</v>
      </c>
      <c r="AI122" t="b">
        <v>0</v>
      </c>
      <c r="AJ122" t="b">
        <v>0</v>
      </c>
      <c r="AK122" t="b">
        <v>0</v>
      </c>
      <c r="AL122" s="6">
        <v>0</v>
      </c>
      <c r="AM122" s="3">
        <v>45855.458333333343</v>
      </c>
      <c r="AN122">
        <v>1</v>
      </c>
      <c r="AO122" s="3"/>
      <c r="AT122" t="b">
        <v>0</v>
      </c>
      <c r="AU122" t="s">
        <v>74</v>
      </c>
      <c r="AV122" t="b">
        <v>1</v>
      </c>
      <c r="AW122" t="b">
        <v>0</v>
      </c>
      <c r="AX122" s="5">
        <v>0</v>
      </c>
      <c r="AY122" s="3"/>
      <c r="AZ122" t="s">
        <v>67</v>
      </c>
      <c r="BA122" t="s">
        <v>67</v>
      </c>
      <c r="BB122" t="s">
        <v>317</v>
      </c>
    </row>
    <row r="123" spans="1:54" x14ac:dyDescent="0.3">
      <c r="A123">
        <v>1</v>
      </c>
      <c r="B123">
        <v>15</v>
      </c>
      <c r="C123" t="s">
        <v>54</v>
      </c>
      <c r="D123" s="3">
        <v>45834.706203703703</v>
      </c>
      <c r="E123" s="8">
        <v>45834</v>
      </c>
      <c r="F123" t="s">
        <v>837</v>
      </c>
      <c r="G123" t="s">
        <v>307</v>
      </c>
      <c r="H123" t="s">
        <v>838</v>
      </c>
      <c r="I123" t="s">
        <v>839</v>
      </c>
      <c r="J123" t="s">
        <v>363</v>
      </c>
      <c r="K123" t="s">
        <v>740</v>
      </c>
      <c r="L123" t="s">
        <v>741</v>
      </c>
      <c r="M123" t="s">
        <v>366</v>
      </c>
      <c r="N123" t="s">
        <v>366</v>
      </c>
      <c r="O123" t="s">
        <v>742</v>
      </c>
      <c r="P123" t="s">
        <v>743</v>
      </c>
      <c r="Q123" s="5">
        <v>1</v>
      </c>
      <c r="R123" s="6">
        <v>519</v>
      </c>
      <c r="S123" s="6">
        <v>519</v>
      </c>
      <c r="T123" s="6">
        <v>324</v>
      </c>
      <c r="U123" s="3">
        <v>45952.229166666657</v>
      </c>
      <c r="W123" t="s">
        <v>840</v>
      </c>
      <c r="X123" t="s">
        <v>70</v>
      </c>
      <c r="Y123" t="s">
        <v>23</v>
      </c>
      <c r="Z123" t="s">
        <v>69</v>
      </c>
      <c r="AA123" t="s">
        <v>69</v>
      </c>
      <c r="AB123" t="s">
        <v>67</v>
      </c>
      <c r="AC123" t="s">
        <v>70</v>
      </c>
      <c r="AD123" t="s">
        <v>745</v>
      </c>
      <c r="AE123" t="s">
        <v>102</v>
      </c>
      <c r="AF123" t="s">
        <v>67</v>
      </c>
      <c r="AH123" t="b">
        <v>0</v>
      </c>
      <c r="AI123" t="b">
        <v>0</v>
      </c>
      <c r="AJ123" t="b">
        <v>0</v>
      </c>
      <c r="AK123" t="b">
        <v>0</v>
      </c>
      <c r="AL123" s="6">
        <v>324</v>
      </c>
      <c r="AM123" s="3">
        <v>45952.229166666657</v>
      </c>
      <c r="AN123">
        <v>1</v>
      </c>
      <c r="AO123" s="3"/>
      <c r="AT123" t="b">
        <v>0</v>
      </c>
      <c r="AU123" t="s">
        <v>74</v>
      </c>
      <c r="AV123" t="b">
        <v>1</v>
      </c>
      <c r="AW123" t="b">
        <v>0</v>
      </c>
      <c r="AX123" s="5">
        <v>0</v>
      </c>
      <c r="AY123" s="3"/>
      <c r="AZ123" t="s">
        <v>67</v>
      </c>
      <c r="BA123" t="s">
        <v>67</v>
      </c>
      <c r="BB123" t="s">
        <v>317</v>
      </c>
    </row>
    <row r="124" spans="1:54" x14ac:dyDescent="0.3">
      <c r="A124">
        <v>1</v>
      </c>
      <c r="B124">
        <v>15</v>
      </c>
      <c r="C124" t="s">
        <v>54</v>
      </c>
      <c r="D124" s="3">
        <v>45854.40729166667</v>
      </c>
      <c r="E124" s="8">
        <v>45854</v>
      </c>
      <c r="F124" t="s">
        <v>841</v>
      </c>
      <c r="G124" t="s">
        <v>307</v>
      </c>
      <c r="H124" t="s">
        <v>842</v>
      </c>
      <c r="I124" t="s">
        <v>843</v>
      </c>
      <c r="J124" t="s">
        <v>593</v>
      </c>
      <c r="K124" t="s">
        <v>634</v>
      </c>
      <c r="L124" t="s">
        <v>600</v>
      </c>
      <c r="M124" t="s">
        <v>312</v>
      </c>
      <c r="N124" t="s">
        <v>312</v>
      </c>
      <c r="O124" t="s">
        <v>313</v>
      </c>
      <c r="P124" t="s">
        <v>314</v>
      </c>
      <c r="Q124" s="5">
        <v>1</v>
      </c>
      <c r="R124" s="6">
        <v>100</v>
      </c>
      <c r="S124" s="6">
        <v>100</v>
      </c>
      <c r="T124" s="6">
        <v>0</v>
      </c>
      <c r="U124" s="3">
        <v>45855.208333333343</v>
      </c>
      <c r="W124" t="s">
        <v>844</v>
      </c>
      <c r="X124" t="s">
        <v>70</v>
      </c>
      <c r="Y124" t="s">
        <v>23</v>
      </c>
      <c r="Z124" t="s">
        <v>69</v>
      </c>
      <c r="AA124" t="s">
        <v>69</v>
      </c>
      <c r="AB124" t="s">
        <v>67</v>
      </c>
      <c r="AC124" t="s">
        <v>70</v>
      </c>
      <c r="AD124" t="s">
        <v>316</v>
      </c>
      <c r="AE124" t="s">
        <v>102</v>
      </c>
      <c r="AF124" t="s">
        <v>67</v>
      </c>
      <c r="AH124" t="b">
        <v>0</v>
      </c>
      <c r="AI124" t="b">
        <v>1</v>
      </c>
      <c r="AJ124" t="b">
        <v>0</v>
      </c>
      <c r="AK124" t="b">
        <v>1</v>
      </c>
      <c r="AL124" s="6">
        <v>0</v>
      </c>
      <c r="AM124" s="3">
        <v>45855.208333333343</v>
      </c>
      <c r="AN124">
        <v>1</v>
      </c>
      <c r="AO124" s="3"/>
      <c r="AT124" t="b">
        <v>0</v>
      </c>
      <c r="AU124" t="s">
        <v>74</v>
      </c>
      <c r="AV124" t="b">
        <v>1</v>
      </c>
      <c r="AW124" t="b">
        <v>0</v>
      </c>
      <c r="AX124" s="5">
        <v>0</v>
      </c>
      <c r="AY124" s="3"/>
      <c r="AZ124" t="s">
        <v>67</v>
      </c>
      <c r="BA124" t="s">
        <v>67</v>
      </c>
      <c r="BB124" t="s">
        <v>317</v>
      </c>
    </row>
    <row r="125" spans="1:54" x14ac:dyDescent="0.3">
      <c r="A125">
        <v>1</v>
      </c>
      <c r="B125">
        <v>15</v>
      </c>
      <c r="C125" t="s">
        <v>54</v>
      </c>
      <c r="D125" s="3">
        <v>45854.416875000003</v>
      </c>
      <c r="E125" s="8">
        <v>45854</v>
      </c>
      <c r="F125" t="s">
        <v>845</v>
      </c>
      <c r="G125" t="s">
        <v>307</v>
      </c>
      <c r="H125" t="s">
        <v>846</v>
      </c>
      <c r="I125" t="s">
        <v>847</v>
      </c>
      <c r="J125" t="s">
        <v>593</v>
      </c>
      <c r="K125" t="s">
        <v>714</v>
      </c>
      <c r="L125" t="s">
        <v>595</v>
      </c>
      <c r="M125" t="s">
        <v>312</v>
      </c>
      <c r="N125" t="s">
        <v>312</v>
      </c>
      <c r="O125" t="s">
        <v>313</v>
      </c>
      <c r="P125" t="s">
        <v>314</v>
      </c>
      <c r="Q125" s="5">
        <v>1</v>
      </c>
      <c r="R125" s="6">
        <v>100</v>
      </c>
      <c r="S125" s="6">
        <v>100</v>
      </c>
      <c r="T125" s="6">
        <v>0</v>
      </c>
      <c r="U125" s="3">
        <v>46207.229166666657</v>
      </c>
      <c r="W125" t="s">
        <v>848</v>
      </c>
      <c r="X125" t="s">
        <v>70</v>
      </c>
      <c r="Y125" t="s">
        <v>23</v>
      </c>
      <c r="Z125" t="s">
        <v>69</v>
      </c>
      <c r="AA125" t="s">
        <v>69</v>
      </c>
      <c r="AB125" t="s">
        <v>67</v>
      </c>
      <c r="AC125" t="s">
        <v>70</v>
      </c>
      <c r="AD125" t="s">
        <v>316</v>
      </c>
      <c r="AE125" t="s">
        <v>102</v>
      </c>
      <c r="AF125" t="s">
        <v>67</v>
      </c>
      <c r="AH125" t="b">
        <v>1</v>
      </c>
      <c r="AI125" t="b">
        <v>0</v>
      </c>
      <c r="AJ125" t="b">
        <v>0</v>
      </c>
      <c r="AK125" t="b">
        <v>0</v>
      </c>
      <c r="AL125" s="6">
        <v>0</v>
      </c>
      <c r="AM125" s="3">
        <v>46038.25</v>
      </c>
      <c r="AN125">
        <v>1</v>
      </c>
      <c r="AO125" s="3"/>
      <c r="AT125" t="b">
        <v>0</v>
      </c>
      <c r="AU125" t="s">
        <v>74</v>
      </c>
      <c r="AV125" t="b">
        <v>1</v>
      </c>
      <c r="AW125" t="b">
        <v>0</v>
      </c>
      <c r="AX125" s="5">
        <v>0</v>
      </c>
      <c r="AY125" s="3"/>
      <c r="AZ125" t="s">
        <v>67</v>
      </c>
      <c r="BA125" t="s">
        <v>67</v>
      </c>
      <c r="BB125" t="s">
        <v>317</v>
      </c>
    </row>
    <row r="126" spans="1:54" x14ac:dyDescent="0.3">
      <c r="A126">
        <v>1</v>
      </c>
      <c r="B126">
        <v>15</v>
      </c>
      <c r="C126" t="s">
        <v>54</v>
      </c>
      <c r="D126" s="3">
        <v>45854.4296412037</v>
      </c>
      <c r="E126" s="8">
        <v>45854</v>
      </c>
      <c r="F126" t="s">
        <v>849</v>
      </c>
      <c r="G126" t="s">
        <v>307</v>
      </c>
      <c r="H126" t="s">
        <v>850</v>
      </c>
      <c r="I126" t="s">
        <v>851</v>
      </c>
      <c r="J126" t="s">
        <v>593</v>
      </c>
      <c r="K126" t="s">
        <v>810</v>
      </c>
      <c r="L126" t="s">
        <v>600</v>
      </c>
      <c r="M126" t="s">
        <v>312</v>
      </c>
      <c r="N126" t="s">
        <v>312</v>
      </c>
      <c r="O126" t="s">
        <v>313</v>
      </c>
      <c r="P126" t="s">
        <v>314</v>
      </c>
      <c r="Q126" s="5">
        <v>2</v>
      </c>
      <c r="R126" s="6">
        <v>100</v>
      </c>
      <c r="S126" s="6">
        <v>200</v>
      </c>
      <c r="T126" s="6">
        <v>0</v>
      </c>
      <c r="U126" s="3">
        <v>45856.458333333343</v>
      </c>
      <c r="W126" t="s">
        <v>852</v>
      </c>
      <c r="X126" t="s">
        <v>70</v>
      </c>
      <c r="Y126" t="s">
        <v>23</v>
      </c>
      <c r="Z126" t="s">
        <v>69</v>
      </c>
      <c r="AA126" t="s">
        <v>69</v>
      </c>
      <c r="AB126" t="s">
        <v>67</v>
      </c>
      <c r="AC126" t="s">
        <v>70</v>
      </c>
      <c r="AD126" t="s">
        <v>316</v>
      </c>
      <c r="AE126" t="s">
        <v>102</v>
      </c>
      <c r="AF126" t="s">
        <v>67</v>
      </c>
      <c r="AH126" t="b">
        <v>0</v>
      </c>
      <c r="AI126" t="b">
        <v>0</v>
      </c>
      <c r="AJ126" t="b">
        <v>0</v>
      </c>
      <c r="AK126" t="b">
        <v>0</v>
      </c>
      <c r="AL126" s="6">
        <v>0</v>
      </c>
      <c r="AM126" s="3">
        <v>45856.458333333343</v>
      </c>
      <c r="AN126">
        <v>1</v>
      </c>
      <c r="AO126" s="3"/>
      <c r="AT126" t="b">
        <v>0</v>
      </c>
      <c r="AU126" t="s">
        <v>74</v>
      </c>
      <c r="AV126" t="b">
        <v>1</v>
      </c>
      <c r="AW126" t="b">
        <v>0</v>
      </c>
      <c r="AX126" s="5">
        <v>0</v>
      </c>
      <c r="AY126" s="3"/>
      <c r="AZ126" t="s">
        <v>67</v>
      </c>
      <c r="BA126" t="s">
        <v>67</v>
      </c>
      <c r="BB126" t="s">
        <v>317</v>
      </c>
    </row>
    <row r="127" spans="1:54" x14ac:dyDescent="0.3">
      <c r="A127">
        <v>1</v>
      </c>
      <c r="B127">
        <v>15</v>
      </c>
      <c r="C127" t="s">
        <v>54</v>
      </c>
      <c r="D127" s="3">
        <v>45854.445833333331</v>
      </c>
      <c r="E127" s="8">
        <v>45854</v>
      </c>
      <c r="F127" t="s">
        <v>853</v>
      </c>
      <c r="G127" t="s">
        <v>307</v>
      </c>
      <c r="H127" t="s">
        <v>854</v>
      </c>
      <c r="I127" t="s">
        <v>855</v>
      </c>
      <c r="J127" t="s">
        <v>593</v>
      </c>
      <c r="K127" t="s">
        <v>620</v>
      </c>
      <c r="L127" t="s">
        <v>595</v>
      </c>
      <c r="M127" t="s">
        <v>312</v>
      </c>
      <c r="N127" t="s">
        <v>312</v>
      </c>
      <c r="O127" t="s">
        <v>313</v>
      </c>
      <c r="P127" t="s">
        <v>314</v>
      </c>
      <c r="Q127" s="5">
        <v>1</v>
      </c>
      <c r="R127" s="6">
        <v>100</v>
      </c>
      <c r="S127" s="6">
        <v>100</v>
      </c>
      <c r="T127" s="6">
        <v>0</v>
      </c>
      <c r="U127" s="3">
        <v>46009.458333333343</v>
      </c>
      <c r="W127" t="s">
        <v>856</v>
      </c>
      <c r="X127" t="s">
        <v>70</v>
      </c>
      <c r="Y127" t="s">
        <v>23</v>
      </c>
      <c r="Z127" t="s">
        <v>69</v>
      </c>
      <c r="AA127" t="s">
        <v>69</v>
      </c>
      <c r="AB127" t="s">
        <v>67</v>
      </c>
      <c r="AC127" t="s">
        <v>70</v>
      </c>
      <c r="AD127" t="s">
        <v>316</v>
      </c>
      <c r="AE127" t="s">
        <v>102</v>
      </c>
      <c r="AF127" t="s">
        <v>67</v>
      </c>
      <c r="AH127" t="b">
        <v>1</v>
      </c>
      <c r="AI127" t="b">
        <v>1</v>
      </c>
      <c r="AJ127" t="b">
        <v>0</v>
      </c>
      <c r="AK127" t="b">
        <v>1</v>
      </c>
      <c r="AL127" s="6">
        <v>0</v>
      </c>
      <c r="AM127" s="3">
        <v>46009.458333333343</v>
      </c>
      <c r="AN127">
        <v>1</v>
      </c>
      <c r="AO127" s="3"/>
      <c r="AT127" t="b">
        <v>0</v>
      </c>
      <c r="AU127" t="s">
        <v>74</v>
      </c>
      <c r="AV127" t="b">
        <v>1</v>
      </c>
      <c r="AW127" t="b">
        <v>0</v>
      </c>
      <c r="AX127" s="5">
        <v>0</v>
      </c>
      <c r="AY127" s="3"/>
      <c r="AZ127" t="s">
        <v>67</v>
      </c>
      <c r="BA127" t="s">
        <v>67</v>
      </c>
      <c r="BB127" t="s">
        <v>317</v>
      </c>
    </row>
    <row r="128" spans="1:54" x14ac:dyDescent="0.3">
      <c r="A128">
        <v>1</v>
      </c>
      <c r="B128">
        <v>15</v>
      </c>
      <c r="C128" t="s">
        <v>54</v>
      </c>
      <c r="D128" s="3">
        <v>45854.450983796298</v>
      </c>
      <c r="E128" s="8">
        <v>45854</v>
      </c>
      <c r="F128" t="s">
        <v>857</v>
      </c>
      <c r="G128" t="s">
        <v>307</v>
      </c>
      <c r="H128" t="s">
        <v>858</v>
      </c>
      <c r="I128" t="s">
        <v>859</v>
      </c>
      <c r="J128" t="s">
        <v>593</v>
      </c>
      <c r="L128" t="s">
        <v>595</v>
      </c>
      <c r="M128" t="s">
        <v>312</v>
      </c>
      <c r="N128" t="s">
        <v>312</v>
      </c>
      <c r="O128" t="s">
        <v>313</v>
      </c>
      <c r="P128" t="s">
        <v>314</v>
      </c>
      <c r="Q128" s="5">
        <v>1</v>
      </c>
      <c r="R128" s="6">
        <v>100</v>
      </c>
      <c r="S128" s="6">
        <v>100</v>
      </c>
      <c r="T128" s="6">
        <v>0</v>
      </c>
      <c r="U128" s="3">
        <v>45938.5625</v>
      </c>
      <c r="W128" t="s">
        <v>860</v>
      </c>
      <c r="X128" t="s">
        <v>70</v>
      </c>
      <c r="Y128" t="s">
        <v>23</v>
      </c>
      <c r="Z128" t="s">
        <v>69</v>
      </c>
      <c r="AA128" t="s">
        <v>69</v>
      </c>
      <c r="AB128" t="s">
        <v>67</v>
      </c>
      <c r="AC128" t="s">
        <v>70</v>
      </c>
      <c r="AD128" t="s">
        <v>316</v>
      </c>
      <c r="AE128" t="s">
        <v>102</v>
      </c>
      <c r="AF128" t="s">
        <v>67</v>
      </c>
      <c r="AH128" t="b">
        <v>1</v>
      </c>
      <c r="AI128" t="b">
        <v>1</v>
      </c>
      <c r="AJ128" t="b">
        <v>0</v>
      </c>
      <c r="AK128" t="b">
        <v>1</v>
      </c>
      <c r="AL128" s="6">
        <v>0</v>
      </c>
      <c r="AM128" s="3">
        <v>45855.4375</v>
      </c>
      <c r="AN128">
        <v>1</v>
      </c>
      <c r="AO128" s="3"/>
      <c r="AT128" t="b">
        <v>0</v>
      </c>
      <c r="AU128" t="s">
        <v>74</v>
      </c>
      <c r="AV128" t="b">
        <v>1</v>
      </c>
      <c r="AW128" t="b">
        <v>0</v>
      </c>
      <c r="AX128" s="5">
        <v>0</v>
      </c>
      <c r="AY128" s="3"/>
      <c r="AZ128" t="s">
        <v>67</v>
      </c>
      <c r="BA128" t="s">
        <v>67</v>
      </c>
      <c r="BB128" t="s">
        <v>317</v>
      </c>
    </row>
    <row r="129" spans="1:54" x14ac:dyDescent="0.3">
      <c r="A129">
        <v>1</v>
      </c>
      <c r="B129">
        <v>15</v>
      </c>
      <c r="C129" t="s">
        <v>54</v>
      </c>
      <c r="D129" s="3">
        <v>45854.626736111109</v>
      </c>
      <c r="E129" s="8">
        <v>45854</v>
      </c>
      <c r="F129" t="s">
        <v>861</v>
      </c>
      <c r="G129" t="s">
        <v>307</v>
      </c>
      <c r="H129" t="s">
        <v>862</v>
      </c>
      <c r="I129" t="s">
        <v>863</v>
      </c>
      <c r="J129" t="s">
        <v>593</v>
      </c>
      <c r="K129" t="s">
        <v>864</v>
      </c>
      <c r="L129" t="s">
        <v>595</v>
      </c>
      <c r="M129" t="s">
        <v>312</v>
      </c>
      <c r="N129" t="s">
        <v>312</v>
      </c>
      <c r="O129" t="s">
        <v>313</v>
      </c>
      <c r="P129" t="s">
        <v>314</v>
      </c>
      <c r="Q129" s="5">
        <v>1</v>
      </c>
      <c r="R129" s="6">
        <v>100</v>
      </c>
      <c r="S129" s="6">
        <v>100</v>
      </c>
      <c r="T129" s="6">
        <v>0</v>
      </c>
      <c r="U129" s="3">
        <v>46044.25</v>
      </c>
      <c r="W129" t="s">
        <v>865</v>
      </c>
      <c r="X129" t="s">
        <v>70</v>
      </c>
      <c r="Y129" t="s">
        <v>23</v>
      </c>
      <c r="Z129" t="s">
        <v>69</v>
      </c>
      <c r="AA129" t="s">
        <v>69</v>
      </c>
      <c r="AB129" t="s">
        <v>67</v>
      </c>
      <c r="AC129" t="s">
        <v>70</v>
      </c>
      <c r="AD129" t="s">
        <v>316</v>
      </c>
      <c r="AE129" t="s">
        <v>102</v>
      </c>
      <c r="AF129" t="s">
        <v>67</v>
      </c>
      <c r="AH129" t="b">
        <v>1</v>
      </c>
      <c r="AI129" t="b">
        <v>1</v>
      </c>
      <c r="AJ129" t="b">
        <v>0</v>
      </c>
      <c r="AK129" t="b">
        <v>1</v>
      </c>
      <c r="AL129" s="6">
        <v>0</v>
      </c>
      <c r="AM129" s="3">
        <v>46044.25</v>
      </c>
      <c r="AN129">
        <v>1</v>
      </c>
      <c r="AO129" s="3"/>
      <c r="AT129" t="b">
        <v>0</v>
      </c>
      <c r="AU129" t="s">
        <v>74</v>
      </c>
      <c r="AV129" t="b">
        <v>1</v>
      </c>
      <c r="AW129" t="b">
        <v>0</v>
      </c>
      <c r="AX129" s="5">
        <v>0</v>
      </c>
      <c r="AY129" s="3"/>
      <c r="AZ129" t="s">
        <v>67</v>
      </c>
      <c r="BA129" t="s">
        <v>67</v>
      </c>
      <c r="BB129" t="s">
        <v>317</v>
      </c>
    </row>
    <row r="130" spans="1:54" x14ac:dyDescent="0.3">
      <c r="A130">
        <v>1</v>
      </c>
      <c r="B130">
        <v>15</v>
      </c>
      <c r="C130" t="s">
        <v>54</v>
      </c>
      <c r="D130" s="3">
        <v>45854.63789351852</v>
      </c>
      <c r="E130" s="8">
        <v>45854</v>
      </c>
      <c r="F130" t="s">
        <v>866</v>
      </c>
      <c r="G130" t="s">
        <v>307</v>
      </c>
      <c r="H130" t="s">
        <v>867</v>
      </c>
      <c r="I130" t="s">
        <v>868</v>
      </c>
      <c r="J130" t="s">
        <v>593</v>
      </c>
      <c r="L130" t="s">
        <v>600</v>
      </c>
      <c r="M130" t="s">
        <v>312</v>
      </c>
      <c r="N130" t="s">
        <v>312</v>
      </c>
      <c r="O130" t="s">
        <v>313</v>
      </c>
      <c r="P130" t="s">
        <v>314</v>
      </c>
      <c r="Q130" s="5">
        <v>1</v>
      </c>
      <c r="R130" s="6">
        <v>100</v>
      </c>
      <c r="S130" s="6">
        <v>100</v>
      </c>
      <c r="T130" s="6">
        <v>0</v>
      </c>
      <c r="U130" s="3">
        <v>46129.458333333343</v>
      </c>
      <c r="W130" t="s">
        <v>869</v>
      </c>
      <c r="X130" t="s">
        <v>70</v>
      </c>
      <c r="Y130" t="s">
        <v>23</v>
      </c>
      <c r="Z130" t="s">
        <v>69</v>
      </c>
      <c r="AA130" t="s">
        <v>69</v>
      </c>
      <c r="AB130" t="s">
        <v>70</v>
      </c>
      <c r="AC130" t="s">
        <v>70</v>
      </c>
      <c r="AD130" t="s">
        <v>316</v>
      </c>
      <c r="AE130" t="s">
        <v>102</v>
      </c>
      <c r="AF130" t="s">
        <v>67</v>
      </c>
      <c r="AH130" t="b">
        <v>0</v>
      </c>
      <c r="AI130" t="b">
        <v>0</v>
      </c>
      <c r="AJ130" t="b">
        <v>0</v>
      </c>
      <c r="AK130" t="b">
        <v>0</v>
      </c>
      <c r="AL130" s="6">
        <v>0</v>
      </c>
      <c r="AM130" s="3">
        <v>45982.479166666657</v>
      </c>
      <c r="AN130">
        <v>1</v>
      </c>
      <c r="AO130" s="3"/>
      <c r="AT130" t="b">
        <v>0</v>
      </c>
      <c r="AU130" t="s">
        <v>74</v>
      </c>
      <c r="AV130" t="b">
        <v>1</v>
      </c>
      <c r="AW130" t="b">
        <v>0</v>
      </c>
      <c r="AX130" s="5">
        <v>0</v>
      </c>
      <c r="AY130" s="3"/>
      <c r="AZ130" t="s">
        <v>67</v>
      </c>
      <c r="BA130" t="s">
        <v>67</v>
      </c>
      <c r="BB130" t="s">
        <v>317</v>
      </c>
    </row>
    <row r="131" spans="1:54" x14ac:dyDescent="0.3">
      <c r="A131">
        <v>1</v>
      </c>
      <c r="B131">
        <v>15</v>
      </c>
      <c r="C131" t="s">
        <v>54</v>
      </c>
      <c r="D131" s="3">
        <v>45854.648495370369</v>
      </c>
      <c r="E131" s="8">
        <v>45854</v>
      </c>
      <c r="F131" t="s">
        <v>870</v>
      </c>
      <c r="G131" t="s">
        <v>307</v>
      </c>
      <c r="H131" t="s">
        <v>871</v>
      </c>
      <c r="I131" t="s">
        <v>872</v>
      </c>
      <c r="J131" t="s">
        <v>593</v>
      </c>
      <c r="L131" t="s">
        <v>595</v>
      </c>
      <c r="M131" t="s">
        <v>312</v>
      </c>
      <c r="N131" t="s">
        <v>312</v>
      </c>
      <c r="O131" t="s">
        <v>313</v>
      </c>
      <c r="P131" t="s">
        <v>314</v>
      </c>
      <c r="Q131" s="5">
        <v>1</v>
      </c>
      <c r="R131" s="6">
        <v>100</v>
      </c>
      <c r="S131" s="6">
        <v>100</v>
      </c>
      <c r="T131" s="6">
        <v>0</v>
      </c>
      <c r="U131" s="3">
        <v>46024.458333333343</v>
      </c>
      <c r="W131" t="s">
        <v>873</v>
      </c>
      <c r="X131" t="s">
        <v>70</v>
      </c>
      <c r="Y131" t="s">
        <v>23</v>
      </c>
      <c r="Z131" t="s">
        <v>69</v>
      </c>
      <c r="AA131" t="s">
        <v>69</v>
      </c>
      <c r="AB131" t="s">
        <v>70</v>
      </c>
      <c r="AC131" t="s">
        <v>70</v>
      </c>
      <c r="AD131" t="s">
        <v>316</v>
      </c>
      <c r="AE131" t="s">
        <v>102</v>
      </c>
      <c r="AF131" t="s">
        <v>67</v>
      </c>
      <c r="AH131" t="b">
        <v>1</v>
      </c>
      <c r="AI131" t="b">
        <v>0</v>
      </c>
      <c r="AJ131" t="b">
        <v>0</v>
      </c>
      <c r="AK131" t="b">
        <v>0</v>
      </c>
      <c r="AL131" s="6">
        <v>0</v>
      </c>
      <c r="AM131" s="3">
        <v>45980.510416666657</v>
      </c>
      <c r="AN131">
        <v>1</v>
      </c>
      <c r="AO131" s="3"/>
      <c r="AT131" t="b">
        <v>0</v>
      </c>
      <c r="AU131" t="s">
        <v>74</v>
      </c>
      <c r="AV131" t="b">
        <v>1</v>
      </c>
      <c r="AW131" t="b">
        <v>0</v>
      </c>
      <c r="AX131" s="5">
        <v>0</v>
      </c>
      <c r="AY131" s="3"/>
      <c r="AZ131" t="s">
        <v>67</v>
      </c>
      <c r="BA131" t="s">
        <v>67</v>
      </c>
      <c r="BB131" t="s">
        <v>317</v>
      </c>
    </row>
    <row r="132" spans="1:54" x14ac:dyDescent="0.3">
      <c r="A132">
        <v>1</v>
      </c>
      <c r="B132">
        <v>15</v>
      </c>
      <c r="C132" t="s">
        <v>54</v>
      </c>
      <c r="D132" s="3">
        <v>45854.697256944448</v>
      </c>
      <c r="E132" s="8">
        <v>45854</v>
      </c>
      <c r="F132" t="s">
        <v>874</v>
      </c>
      <c r="G132" t="s">
        <v>307</v>
      </c>
      <c r="H132" t="s">
        <v>875</v>
      </c>
      <c r="I132" t="s">
        <v>876</v>
      </c>
      <c r="J132" t="s">
        <v>593</v>
      </c>
      <c r="K132" t="s">
        <v>796</v>
      </c>
      <c r="L132" t="s">
        <v>595</v>
      </c>
      <c r="M132" t="s">
        <v>312</v>
      </c>
      <c r="N132" t="s">
        <v>312</v>
      </c>
      <c r="O132" t="s">
        <v>313</v>
      </c>
      <c r="P132" t="s">
        <v>314</v>
      </c>
      <c r="Q132" s="5">
        <v>1</v>
      </c>
      <c r="R132" s="6">
        <v>100</v>
      </c>
      <c r="S132" s="6">
        <v>100</v>
      </c>
      <c r="T132" s="6">
        <v>0</v>
      </c>
      <c r="U132" s="3">
        <v>46302.25</v>
      </c>
      <c r="W132" t="s">
        <v>877</v>
      </c>
      <c r="X132" t="s">
        <v>70</v>
      </c>
      <c r="Y132" t="s">
        <v>23</v>
      </c>
      <c r="Z132" t="s">
        <v>69</v>
      </c>
      <c r="AA132" t="s">
        <v>69</v>
      </c>
      <c r="AB132" t="s">
        <v>67</v>
      </c>
      <c r="AC132" t="s">
        <v>70</v>
      </c>
      <c r="AD132" t="s">
        <v>316</v>
      </c>
      <c r="AE132" t="s">
        <v>102</v>
      </c>
      <c r="AF132" t="s">
        <v>67</v>
      </c>
      <c r="AH132" t="b">
        <v>1</v>
      </c>
      <c r="AI132" t="b">
        <v>1</v>
      </c>
      <c r="AJ132" t="b">
        <v>0</v>
      </c>
      <c r="AK132" t="b">
        <v>1</v>
      </c>
      <c r="AL132" s="6">
        <v>0</v>
      </c>
      <c r="AM132" s="3">
        <v>45946.260416666657</v>
      </c>
      <c r="AN132">
        <v>1</v>
      </c>
      <c r="AO132" s="3"/>
      <c r="AT132" t="b">
        <v>0</v>
      </c>
      <c r="AU132" t="s">
        <v>74</v>
      </c>
      <c r="AV132" t="b">
        <v>1</v>
      </c>
      <c r="AW132" t="b">
        <v>0</v>
      </c>
      <c r="AX132" s="5">
        <v>0</v>
      </c>
      <c r="AY132" s="3"/>
      <c r="AZ132" t="s">
        <v>67</v>
      </c>
      <c r="BA132" t="s">
        <v>67</v>
      </c>
      <c r="BB132" t="s">
        <v>317</v>
      </c>
    </row>
    <row r="133" spans="1:54" x14ac:dyDescent="0.3">
      <c r="A133">
        <v>1</v>
      </c>
      <c r="B133">
        <v>15</v>
      </c>
      <c r="C133" t="s">
        <v>54</v>
      </c>
      <c r="D133" s="3">
        <v>45855.415324074071</v>
      </c>
      <c r="E133" s="8">
        <v>45855</v>
      </c>
      <c r="F133" t="s">
        <v>878</v>
      </c>
      <c r="G133" t="s">
        <v>307</v>
      </c>
      <c r="H133" t="s">
        <v>879</v>
      </c>
      <c r="I133" t="s">
        <v>880</v>
      </c>
      <c r="J133" t="s">
        <v>593</v>
      </c>
      <c r="L133" t="s">
        <v>600</v>
      </c>
      <c r="M133" t="s">
        <v>312</v>
      </c>
      <c r="N133" t="s">
        <v>312</v>
      </c>
      <c r="O133" t="s">
        <v>313</v>
      </c>
      <c r="P133" t="s">
        <v>314</v>
      </c>
      <c r="Q133" s="5">
        <v>1</v>
      </c>
      <c r="R133" s="6">
        <v>100</v>
      </c>
      <c r="S133" s="6">
        <v>100</v>
      </c>
      <c r="T133" s="6">
        <v>0</v>
      </c>
      <c r="U133" s="3">
        <v>46302.229166666657</v>
      </c>
      <c r="W133" t="s">
        <v>881</v>
      </c>
      <c r="X133" t="s">
        <v>70</v>
      </c>
      <c r="Y133" t="s">
        <v>23</v>
      </c>
      <c r="Z133" t="s">
        <v>69</v>
      </c>
      <c r="AA133" t="s">
        <v>69</v>
      </c>
      <c r="AB133" t="s">
        <v>67</v>
      </c>
      <c r="AC133" t="s">
        <v>70</v>
      </c>
      <c r="AD133" t="s">
        <v>316</v>
      </c>
      <c r="AE133" t="s">
        <v>102</v>
      </c>
      <c r="AF133" t="s">
        <v>67</v>
      </c>
      <c r="AH133" t="b">
        <v>1</v>
      </c>
      <c r="AI133" t="b">
        <v>1</v>
      </c>
      <c r="AJ133" t="b">
        <v>0</v>
      </c>
      <c r="AK133" t="b">
        <v>1</v>
      </c>
      <c r="AL133" s="6">
        <v>0</v>
      </c>
      <c r="AM133" s="3">
        <v>46008.479166666657</v>
      </c>
      <c r="AN133">
        <v>1</v>
      </c>
      <c r="AO133" s="3"/>
      <c r="AT133" t="b">
        <v>0</v>
      </c>
      <c r="AU133" t="s">
        <v>74</v>
      </c>
      <c r="AV133" t="b">
        <v>1</v>
      </c>
      <c r="AW133" t="b">
        <v>0</v>
      </c>
      <c r="AX133" s="5">
        <v>0</v>
      </c>
      <c r="AY133" s="3"/>
      <c r="AZ133" t="s">
        <v>67</v>
      </c>
      <c r="BA133" t="s">
        <v>67</v>
      </c>
      <c r="BB133" t="s">
        <v>317</v>
      </c>
    </row>
    <row r="134" spans="1:54" x14ac:dyDescent="0.3">
      <c r="A134">
        <v>1</v>
      </c>
      <c r="B134">
        <v>15</v>
      </c>
      <c r="C134" t="s">
        <v>54</v>
      </c>
      <c r="D134" s="3">
        <v>45855.547222222223</v>
      </c>
      <c r="E134" s="8">
        <v>45855</v>
      </c>
      <c r="F134" t="s">
        <v>882</v>
      </c>
      <c r="G134" t="s">
        <v>307</v>
      </c>
      <c r="H134" t="s">
        <v>883</v>
      </c>
      <c r="I134" t="s">
        <v>884</v>
      </c>
      <c r="J134" t="s">
        <v>593</v>
      </c>
      <c r="L134" t="s">
        <v>595</v>
      </c>
      <c r="M134" t="s">
        <v>312</v>
      </c>
      <c r="O134" t="s">
        <v>313</v>
      </c>
      <c r="P134" t="s">
        <v>314</v>
      </c>
      <c r="Q134" s="5">
        <v>1</v>
      </c>
      <c r="R134" s="6">
        <v>100</v>
      </c>
      <c r="S134" s="6">
        <v>100</v>
      </c>
      <c r="T134" s="6">
        <v>0</v>
      </c>
      <c r="U134" s="3">
        <v>46276.458333333343</v>
      </c>
      <c r="W134" t="s">
        <v>885</v>
      </c>
      <c r="X134" t="s">
        <v>70</v>
      </c>
      <c r="Y134" t="s">
        <v>23</v>
      </c>
      <c r="Z134" t="s">
        <v>69</v>
      </c>
      <c r="AA134" t="s">
        <v>69</v>
      </c>
      <c r="AB134" t="s">
        <v>67</v>
      </c>
      <c r="AC134" t="s">
        <v>70</v>
      </c>
      <c r="AD134" t="s">
        <v>316</v>
      </c>
      <c r="AE134" t="s">
        <v>102</v>
      </c>
      <c r="AF134" t="s">
        <v>67</v>
      </c>
      <c r="AH134" t="b">
        <v>0</v>
      </c>
      <c r="AI134" t="b">
        <v>1</v>
      </c>
      <c r="AJ134" t="b">
        <v>0</v>
      </c>
      <c r="AK134" t="b">
        <v>1</v>
      </c>
      <c r="AL134" s="6">
        <v>0</v>
      </c>
      <c r="AM134" s="3">
        <v>46276.458333333343</v>
      </c>
      <c r="AN134">
        <v>1</v>
      </c>
      <c r="AO134" s="3"/>
      <c r="AT134" t="b">
        <v>0</v>
      </c>
      <c r="AU134" t="s">
        <v>74</v>
      </c>
      <c r="AV134" t="b">
        <v>1</v>
      </c>
      <c r="AW134" t="b">
        <v>0</v>
      </c>
      <c r="AX134" s="5">
        <v>0</v>
      </c>
      <c r="AY134" s="3"/>
      <c r="AZ134" t="s">
        <v>67</v>
      </c>
      <c r="BA134" t="s">
        <v>67</v>
      </c>
      <c r="BB134" t="s">
        <v>317</v>
      </c>
    </row>
    <row r="135" spans="1:54" x14ac:dyDescent="0.3">
      <c r="A135">
        <v>1</v>
      </c>
      <c r="B135">
        <v>15</v>
      </c>
      <c r="C135" t="s">
        <v>54</v>
      </c>
      <c r="D135" s="3">
        <v>45855.592604166668</v>
      </c>
      <c r="E135" s="8">
        <v>45855</v>
      </c>
      <c r="F135" t="s">
        <v>886</v>
      </c>
      <c r="G135" t="s">
        <v>307</v>
      </c>
      <c r="H135" t="s">
        <v>887</v>
      </c>
      <c r="I135" t="s">
        <v>888</v>
      </c>
      <c r="J135" t="s">
        <v>593</v>
      </c>
      <c r="K135" t="s">
        <v>889</v>
      </c>
      <c r="L135" t="s">
        <v>595</v>
      </c>
      <c r="M135" t="s">
        <v>312</v>
      </c>
      <c r="N135" t="s">
        <v>312</v>
      </c>
      <c r="O135" t="s">
        <v>313</v>
      </c>
      <c r="P135" t="s">
        <v>314</v>
      </c>
      <c r="Q135" s="5">
        <v>1</v>
      </c>
      <c r="R135" s="6">
        <v>100</v>
      </c>
      <c r="S135" s="6">
        <v>100</v>
      </c>
      <c r="T135" s="6">
        <v>0</v>
      </c>
      <c r="U135" s="3">
        <v>45890.458333333343</v>
      </c>
      <c r="W135" t="s">
        <v>890</v>
      </c>
      <c r="X135" t="s">
        <v>70</v>
      </c>
      <c r="Y135" t="s">
        <v>23</v>
      </c>
      <c r="Z135" t="s">
        <v>69</v>
      </c>
      <c r="AA135" t="s">
        <v>69</v>
      </c>
      <c r="AB135" t="s">
        <v>67</v>
      </c>
      <c r="AC135" t="s">
        <v>70</v>
      </c>
      <c r="AD135" t="s">
        <v>316</v>
      </c>
      <c r="AE135" t="s">
        <v>102</v>
      </c>
      <c r="AF135" t="s">
        <v>67</v>
      </c>
      <c r="AH135" t="b">
        <v>0</v>
      </c>
      <c r="AI135" t="b">
        <v>1</v>
      </c>
      <c r="AJ135" t="b">
        <v>0</v>
      </c>
      <c r="AK135" t="b">
        <v>1</v>
      </c>
      <c r="AL135" s="6">
        <v>0</v>
      </c>
      <c r="AM135" s="3">
        <v>45890.458333333343</v>
      </c>
      <c r="AN135">
        <v>1</v>
      </c>
      <c r="AO135" s="3"/>
      <c r="AT135" t="b">
        <v>0</v>
      </c>
      <c r="AU135" t="s">
        <v>74</v>
      </c>
      <c r="AV135" t="b">
        <v>1</v>
      </c>
      <c r="AW135" t="b">
        <v>0</v>
      </c>
      <c r="AX135" s="5">
        <v>0</v>
      </c>
      <c r="AY135" s="3"/>
      <c r="AZ135" t="s">
        <v>67</v>
      </c>
      <c r="BA135" t="s">
        <v>67</v>
      </c>
      <c r="BB135" t="s">
        <v>317</v>
      </c>
    </row>
    <row r="136" spans="1:54" x14ac:dyDescent="0.3">
      <c r="A136">
        <v>1</v>
      </c>
      <c r="B136">
        <v>15</v>
      </c>
      <c r="C136" t="s">
        <v>54</v>
      </c>
      <c r="D136" s="3">
        <v>45855.632002314807</v>
      </c>
      <c r="E136" s="8">
        <v>45855</v>
      </c>
      <c r="F136" t="s">
        <v>891</v>
      </c>
      <c r="G136" t="s">
        <v>307</v>
      </c>
      <c r="H136" t="s">
        <v>892</v>
      </c>
      <c r="I136" t="s">
        <v>893</v>
      </c>
      <c r="J136" t="s">
        <v>593</v>
      </c>
      <c r="K136" t="s">
        <v>709</v>
      </c>
      <c r="L136" t="s">
        <v>595</v>
      </c>
      <c r="M136" t="s">
        <v>312</v>
      </c>
      <c r="N136" t="s">
        <v>312</v>
      </c>
      <c r="O136" t="s">
        <v>313</v>
      </c>
      <c r="P136" t="s">
        <v>314</v>
      </c>
      <c r="Q136" s="5">
        <v>1</v>
      </c>
      <c r="R136" s="6">
        <v>100</v>
      </c>
      <c r="S136" s="6">
        <v>100</v>
      </c>
      <c r="T136" s="6">
        <v>0</v>
      </c>
      <c r="U136" s="3">
        <v>45856.458333333343</v>
      </c>
      <c r="W136" t="s">
        <v>894</v>
      </c>
      <c r="X136" t="s">
        <v>70</v>
      </c>
      <c r="Y136" t="s">
        <v>23</v>
      </c>
      <c r="Z136" t="s">
        <v>69</v>
      </c>
      <c r="AA136" t="s">
        <v>69</v>
      </c>
      <c r="AB136" t="s">
        <v>67</v>
      </c>
      <c r="AC136" t="s">
        <v>70</v>
      </c>
      <c r="AD136" t="s">
        <v>316</v>
      </c>
      <c r="AE136" t="s">
        <v>102</v>
      </c>
      <c r="AF136" t="s">
        <v>67</v>
      </c>
      <c r="AH136" t="b">
        <v>1</v>
      </c>
      <c r="AI136" t="b">
        <v>0</v>
      </c>
      <c r="AJ136" t="b">
        <v>0</v>
      </c>
      <c r="AK136" t="b">
        <v>0</v>
      </c>
      <c r="AL136" s="6">
        <v>0</v>
      </c>
      <c r="AM136" s="3">
        <v>45856.458333333343</v>
      </c>
      <c r="AN136">
        <v>1</v>
      </c>
      <c r="AO136" s="3"/>
      <c r="AT136" t="b">
        <v>0</v>
      </c>
      <c r="AU136" t="s">
        <v>74</v>
      </c>
      <c r="AV136" t="b">
        <v>1</v>
      </c>
      <c r="AW136" t="b">
        <v>0</v>
      </c>
      <c r="AX136" s="5">
        <v>0</v>
      </c>
      <c r="AY136" s="3"/>
      <c r="AZ136" t="s">
        <v>67</v>
      </c>
      <c r="BA136" t="s">
        <v>67</v>
      </c>
      <c r="BB136" t="s">
        <v>317</v>
      </c>
    </row>
    <row r="137" spans="1:54" x14ac:dyDescent="0.3">
      <c r="A137">
        <v>1</v>
      </c>
      <c r="B137">
        <v>15</v>
      </c>
      <c r="C137" t="s">
        <v>54</v>
      </c>
      <c r="D137" s="3">
        <v>45856.524108796293</v>
      </c>
      <c r="E137" s="8">
        <v>45856</v>
      </c>
      <c r="F137" t="s">
        <v>895</v>
      </c>
      <c r="G137" t="s">
        <v>307</v>
      </c>
      <c r="H137" t="s">
        <v>896</v>
      </c>
      <c r="I137" t="s">
        <v>897</v>
      </c>
      <c r="J137" t="s">
        <v>593</v>
      </c>
      <c r="K137" t="s">
        <v>731</v>
      </c>
      <c r="L137" t="s">
        <v>595</v>
      </c>
      <c r="M137" t="s">
        <v>312</v>
      </c>
      <c r="N137" t="s">
        <v>312</v>
      </c>
      <c r="O137" t="s">
        <v>313</v>
      </c>
      <c r="P137" t="s">
        <v>314</v>
      </c>
      <c r="Q137" s="5">
        <v>1</v>
      </c>
      <c r="R137" s="6">
        <v>100</v>
      </c>
      <c r="S137" s="6">
        <v>100</v>
      </c>
      <c r="T137" s="6">
        <v>0</v>
      </c>
      <c r="U137" s="3">
        <v>46270.25</v>
      </c>
      <c r="W137" t="s">
        <v>898</v>
      </c>
      <c r="X137" t="s">
        <v>70</v>
      </c>
      <c r="Y137" t="s">
        <v>23</v>
      </c>
      <c r="Z137" t="s">
        <v>69</v>
      </c>
      <c r="AA137" t="s">
        <v>69</v>
      </c>
      <c r="AB137" t="s">
        <v>67</v>
      </c>
      <c r="AC137" t="s">
        <v>70</v>
      </c>
      <c r="AD137" t="s">
        <v>316</v>
      </c>
      <c r="AE137" t="s">
        <v>102</v>
      </c>
      <c r="AF137" t="s">
        <v>67</v>
      </c>
      <c r="AH137" t="b">
        <v>1</v>
      </c>
      <c r="AI137" t="b">
        <v>1</v>
      </c>
      <c r="AJ137" t="b">
        <v>0</v>
      </c>
      <c r="AK137" t="b">
        <v>1</v>
      </c>
      <c r="AL137" s="6">
        <v>0</v>
      </c>
      <c r="AM137" s="3">
        <v>46071.520833333343</v>
      </c>
      <c r="AN137">
        <v>1</v>
      </c>
      <c r="AO137" s="3"/>
      <c r="AT137" t="b">
        <v>0</v>
      </c>
      <c r="AU137" t="s">
        <v>74</v>
      </c>
      <c r="AV137" t="b">
        <v>1</v>
      </c>
      <c r="AW137" t="b">
        <v>0</v>
      </c>
      <c r="AX137" s="5">
        <v>0</v>
      </c>
      <c r="AY137" s="3"/>
      <c r="AZ137" t="s">
        <v>67</v>
      </c>
      <c r="BA137" t="s">
        <v>67</v>
      </c>
      <c r="BB137" t="s">
        <v>317</v>
      </c>
    </row>
    <row r="138" spans="1:54" x14ac:dyDescent="0.3">
      <c r="A138">
        <v>1</v>
      </c>
      <c r="B138">
        <v>15</v>
      </c>
      <c r="C138" t="s">
        <v>54</v>
      </c>
      <c r="D138" s="3">
        <v>45859.403136574067</v>
      </c>
      <c r="E138" s="8">
        <v>45859</v>
      </c>
      <c r="F138" t="s">
        <v>899</v>
      </c>
      <c r="G138" t="s">
        <v>307</v>
      </c>
      <c r="H138" t="s">
        <v>900</v>
      </c>
      <c r="I138" t="s">
        <v>901</v>
      </c>
      <c r="J138" t="s">
        <v>59</v>
      </c>
      <c r="K138" t="s">
        <v>902</v>
      </c>
      <c r="L138" t="s">
        <v>699</v>
      </c>
      <c r="M138" t="s">
        <v>62</v>
      </c>
      <c r="O138" t="s">
        <v>903</v>
      </c>
      <c r="P138" t="s">
        <v>904</v>
      </c>
      <c r="Q138" s="5">
        <v>1</v>
      </c>
      <c r="R138" s="6">
        <v>173</v>
      </c>
      <c r="S138" s="6">
        <v>173</v>
      </c>
      <c r="T138" s="6">
        <v>108</v>
      </c>
      <c r="U138" s="3">
        <v>46280.25</v>
      </c>
      <c r="W138" t="s">
        <v>905</v>
      </c>
      <c r="X138" t="s">
        <v>70</v>
      </c>
      <c r="Y138" t="s">
        <v>23</v>
      </c>
      <c r="Z138" t="s">
        <v>69</v>
      </c>
      <c r="AA138" t="s">
        <v>69</v>
      </c>
      <c r="AB138" t="s">
        <v>67</v>
      </c>
      <c r="AC138" t="s">
        <v>70</v>
      </c>
      <c r="AD138" t="s">
        <v>71</v>
      </c>
      <c r="AE138" t="s">
        <v>102</v>
      </c>
      <c r="AF138" t="s">
        <v>67</v>
      </c>
      <c r="AH138" t="b">
        <v>0</v>
      </c>
      <c r="AI138" t="b">
        <v>1</v>
      </c>
      <c r="AJ138" t="b">
        <v>0</v>
      </c>
      <c r="AK138" t="b">
        <v>1</v>
      </c>
      <c r="AL138" s="6">
        <v>108</v>
      </c>
      <c r="AM138" s="3">
        <v>46280.25</v>
      </c>
      <c r="AN138">
        <v>1</v>
      </c>
      <c r="AO138" s="3"/>
      <c r="AT138" t="b">
        <v>0</v>
      </c>
      <c r="AU138" t="s">
        <v>74</v>
      </c>
      <c r="AV138" t="b">
        <v>1</v>
      </c>
      <c r="AW138" t="b">
        <v>0</v>
      </c>
      <c r="AX138" s="5">
        <v>0</v>
      </c>
      <c r="AY138" s="3"/>
      <c r="AZ138" t="s">
        <v>67</v>
      </c>
      <c r="BA138" t="s">
        <v>67</v>
      </c>
      <c r="BB138" t="s">
        <v>317</v>
      </c>
    </row>
    <row r="139" spans="1:54" x14ac:dyDescent="0.3">
      <c r="A139">
        <v>1</v>
      </c>
      <c r="B139">
        <v>15</v>
      </c>
      <c r="C139" t="s">
        <v>54</v>
      </c>
      <c r="D139" s="3">
        <v>45862.627141203702</v>
      </c>
      <c r="E139" s="8">
        <v>45862</v>
      </c>
      <c r="F139" t="s">
        <v>906</v>
      </c>
      <c r="G139" t="s">
        <v>307</v>
      </c>
      <c r="H139" t="s">
        <v>907</v>
      </c>
      <c r="I139" t="s">
        <v>908</v>
      </c>
      <c r="J139" t="s">
        <v>363</v>
      </c>
      <c r="K139" t="s">
        <v>909</v>
      </c>
      <c r="L139" t="s">
        <v>365</v>
      </c>
      <c r="M139" t="s">
        <v>366</v>
      </c>
      <c r="O139" t="s">
        <v>742</v>
      </c>
      <c r="P139" t="s">
        <v>743</v>
      </c>
      <c r="Q139" s="5">
        <v>1</v>
      </c>
      <c r="R139" s="6">
        <v>519</v>
      </c>
      <c r="S139" s="6">
        <v>519</v>
      </c>
      <c r="T139" s="6">
        <v>324</v>
      </c>
      <c r="U139" s="3">
        <v>46050.458333333343</v>
      </c>
      <c r="W139" t="s">
        <v>910</v>
      </c>
      <c r="X139" t="s">
        <v>70</v>
      </c>
      <c r="Y139" t="s">
        <v>23</v>
      </c>
      <c r="Z139" t="s">
        <v>69</v>
      </c>
      <c r="AA139" t="s">
        <v>69</v>
      </c>
      <c r="AB139" t="s">
        <v>70</v>
      </c>
      <c r="AC139" t="s">
        <v>70</v>
      </c>
      <c r="AD139" t="s">
        <v>370</v>
      </c>
      <c r="AE139" t="s">
        <v>102</v>
      </c>
      <c r="AF139" t="s">
        <v>67</v>
      </c>
      <c r="AH139" t="b">
        <v>0</v>
      </c>
      <c r="AI139" t="b">
        <v>0</v>
      </c>
      <c r="AJ139" t="b">
        <v>0</v>
      </c>
      <c r="AK139" t="b">
        <v>0</v>
      </c>
      <c r="AL139" s="6">
        <v>324</v>
      </c>
      <c r="AM139" s="3">
        <v>46050.458333333343</v>
      </c>
      <c r="AN139">
        <v>1</v>
      </c>
      <c r="AO139" s="3"/>
      <c r="AT139" t="b">
        <v>0</v>
      </c>
      <c r="AU139" t="s">
        <v>74</v>
      </c>
      <c r="AV139" t="b">
        <v>1</v>
      </c>
      <c r="AW139" t="b">
        <v>0</v>
      </c>
      <c r="AX139" s="5">
        <v>0</v>
      </c>
      <c r="AY139" s="3"/>
      <c r="AZ139" t="s">
        <v>67</v>
      </c>
      <c r="BA139" t="s">
        <v>67</v>
      </c>
      <c r="BB139" t="s">
        <v>317</v>
      </c>
    </row>
    <row r="140" spans="1:54" x14ac:dyDescent="0.3">
      <c r="A140">
        <v>1</v>
      </c>
      <c r="B140">
        <v>15</v>
      </c>
      <c r="C140" t="s">
        <v>54</v>
      </c>
      <c r="D140" s="3">
        <v>45881.495798611111</v>
      </c>
      <c r="E140" s="8">
        <v>46044</v>
      </c>
      <c r="F140" t="s">
        <v>911</v>
      </c>
      <c r="G140" t="s">
        <v>307</v>
      </c>
      <c r="H140" t="s">
        <v>912</v>
      </c>
      <c r="I140" t="s">
        <v>913</v>
      </c>
      <c r="J140" t="s">
        <v>59</v>
      </c>
      <c r="K140" t="s">
        <v>914</v>
      </c>
      <c r="L140" t="s">
        <v>699</v>
      </c>
      <c r="M140" t="s">
        <v>62</v>
      </c>
      <c r="O140" t="s">
        <v>82</v>
      </c>
      <c r="P140" t="s">
        <v>83</v>
      </c>
      <c r="Q140" s="5">
        <v>1</v>
      </c>
      <c r="R140" s="6">
        <v>140</v>
      </c>
      <c r="S140" s="6">
        <v>140</v>
      </c>
      <c r="T140" s="6">
        <v>93.1</v>
      </c>
      <c r="U140" s="3">
        <v>46301.229166666657</v>
      </c>
      <c r="W140" t="s">
        <v>915</v>
      </c>
      <c r="X140" t="s">
        <v>70</v>
      </c>
      <c r="Y140" t="s">
        <v>68</v>
      </c>
      <c r="Z140" t="s">
        <v>69</v>
      </c>
      <c r="AA140" t="s">
        <v>69</v>
      </c>
      <c r="AB140" t="s">
        <v>67</v>
      </c>
      <c r="AC140" t="s">
        <v>70</v>
      </c>
      <c r="AD140" t="s">
        <v>71</v>
      </c>
      <c r="AE140" t="s">
        <v>84</v>
      </c>
      <c r="AF140" t="s">
        <v>67</v>
      </c>
      <c r="AG140" t="s">
        <v>82</v>
      </c>
      <c r="AH140" t="b">
        <v>0</v>
      </c>
      <c r="AI140" t="b">
        <v>0</v>
      </c>
      <c r="AJ140" t="b">
        <v>0</v>
      </c>
      <c r="AK140" t="b">
        <v>0</v>
      </c>
      <c r="AL140" s="6">
        <v>93.1</v>
      </c>
      <c r="AM140" s="3">
        <v>46301.229166666657</v>
      </c>
      <c r="AN140">
        <v>1</v>
      </c>
      <c r="AO140" s="3"/>
      <c r="AT140" t="b">
        <v>0</v>
      </c>
      <c r="AU140" t="s">
        <v>74</v>
      </c>
      <c r="AV140" t="b">
        <v>1</v>
      </c>
      <c r="AW140" t="b">
        <v>0</v>
      </c>
      <c r="AX140" s="5">
        <v>0</v>
      </c>
      <c r="AY140" s="3"/>
      <c r="AZ140" t="s">
        <v>67</v>
      </c>
      <c r="BA140" t="s">
        <v>67</v>
      </c>
      <c r="BB140" t="s">
        <v>317</v>
      </c>
    </row>
    <row r="141" spans="1:54" x14ac:dyDescent="0.3">
      <c r="A141">
        <v>1</v>
      </c>
      <c r="B141">
        <v>15</v>
      </c>
      <c r="C141" t="s">
        <v>54</v>
      </c>
      <c r="D141" s="3">
        <v>45881.495798611111</v>
      </c>
      <c r="E141" s="8">
        <v>46044</v>
      </c>
      <c r="F141" t="s">
        <v>911</v>
      </c>
      <c r="G141" t="s">
        <v>307</v>
      </c>
      <c r="H141" t="s">
        <v>912</v>
      </c>
      <c r="I141" t="s">
        <v>913</v>
      </c>
      <c r="J141" t="s">
        <v>59</v>
      </c>
      <c r="K141" t="s">
        <v>914</v>
      </c>
      <c r="L141" t="s">
        <v>699</v>
      </c>
      <c r="M141" t="s">
        <v>62</v>
      </c>
      <c r="O141" t="s">
        <v>916</v>
      </c>
      <c r="P141" t="s">
        <v>917</v>
      </c>
      <c r="Q141" s="5">
        <v>1</v>
      </c>
      <c r="R141" s="6">
        <v>1141</v>
      </c>
      <c r="S141" s="6">
        <v>1141</v>
      </c>
      <c r="T141" s="6">
        <v>713</v>
      </c>
      <c r="U141" s="3">
        <v>46301.229166666657</v>
      </c>
      <c r="W141" t="s">
        <v>915</v>
      </c>
      <c r="X141" t="s">
        <v>70</v>
      </c>
      <c r="Y141" t="s">
        <v>23</v>
      </c>
      <c r="Z141" t="s">
        <v>69</v>
      </c>
      <c r="AA141" t="s">
        <v>69</v>
      </c>
      <c r="AB141" t="s">
        <v>67</v>
      </c>
      <c r="AC141" t="s">
        <v>70</v>
      </c>
      <c r="AD141" t="s">
        <v>71</v>
      </c>
      <c r="AF141" t="s">
        <v>67</v>
      </c>
      <c r="AH141" t="b">
        <v>0</v>
      </c>
      <c r="AI141" t="b">
        <v>0</v>
      </c>
      <c r="AJ141" t="b">
        <v>0</v>
      </c>
      <c r="AK141" t="b">
        <v>0</v>
      </c>
      <c r="AL141" s="6">
        <v>713</v>
      </c>
      <c r="AM141" s="3">
        <v>46301.229166666657</v>
      </c>
      <c r="AN141">
        <v>1</v>
      </c>
      <c r="AO141" s="3"/>
      <c r="AT141" t="b">
        <v>0</v>
      </c>
      <c r="AU141" t="s">
        <v>74</v>
      </c>
      <c r="AV141" t="b">
        <v>1</v>
      </c>
      <c r="AW141" t="b">
        <v>0</v>
      </c>
      <c r="AX141" s="5">
        <v>0</v>
      </c>
      <c r="AY141" s="3"/>
      <c r="AZ141" t="s">
        <v>67</v>
      </c>
      <c r="BA141" t="s">
        <v>67</v>
      </c>
      <c r="BB141" t="s">
        <v>317</v>
      </c>
    </row>
    <row r="142" spans="1:54" x14ac:dyDescent="0.3">
      <c r="A142">
        <v>1</v>
      </c>
      <c r="B142">
        <v>15</v>
      </c>
      <c r="C142" t="s">
        <v>54</v>
      </c>
      <c r="D142" s="3">
        <v>45881.495798611111</v>
      </c>
      <c r="E142" s="8">
        <v>46044</v>
      </c>
      <c r="F142" t="s">
        <v>911</v>
      </c>
      <c r="G142" t="s">
        <v>307</v>
      </c>
      <c r="H142" t="s">
        <v>912</v>
      </c>
      <c r="I142" t="s">
        <v>913</v>
      </c>
      <c r="J142" t="s">
        <v>59</v>
      </c>
      <c r="K142" t="s">
        <v>914</v>
      </c>
      <c r="L142" t="s">
        <v>699</v>
      </c>
      <c r="M142" t="s">
        <v>62</v>
      </c>
      <c r="O142" t="s">
        <v>121</v>
      </c>
      <c r="P142" t="s">
        <v>122</v>
      </c>
      <c r="Q142" s="5">
        <v>4</v>
      </c>
      <c r="R142" s="6">
        <v>53</v>
      </c>
      <c r="S142" s="6">
        <v>212</v>
      </c>
      <c r="T142" s="6">
        <v>132</v>
      </c>
      <c r="U142" s="3">
        <v>46301.229166666657</v>
      </c>
      <c r="W142" t="s">
        <v>915</v>
      </c>
      <c r="X142" t="s">
        <v>70</v>
      </c>
      <c r="Y142" t="s">
        <v>23</v>
      </c>
      <c r="Z142" t="s">
        <v>69</v>
      </c>
      <c r="AA142" t="s">
        <v>69</v>
      </c>
      <c r="AB142" t="s">
        <v>67</v>
      </c>
      <c r="AC142" t="s">
        <v>70</v>
      </c>
      <c r="AD142" t="s">
        <v>71</v>
      </c>
      <c r="AF142" t="s">
        <v>67</v>
      </c>
      <c r="AH142" t="b">
        <v>0</v>
      </c>
      <c r="AI142" t="b">
        <v>0</v>
      </c>
      <c r="AJ142" t="b">
        <v>0</v>
      </c>
      <c r="AK142" t="b">
        <v>0</v>
      </c>
      <c r="AL142" s="6">
        <v>33</v>
      </c>
      <c r="AM142" s="3">
        <v>46301.229166666657</v>
      </c>
      <c r="AN142">
        <v>1</v>
      </c>
      <c r="AO142" s="3"/>
      <c r="AT142" t="b">
        <v>0</v>
      </c>
      <c r="AU142" t="s">
        <v>74</v>
      </c>
      <c r="AV142" t="b">
        <v>1</v>
      </c>
      <c r="AW142" t="b">
        <v>0</v>
      </c>
      <c r="AX142" s="5">
        <v>0</v>
      </c>
      <c r="AY142" s="3"/>
      <c r="AZ142" t="s">
        <v>67</v>
      </c>
      <c r="BA142" t="s">
        <v>67</v>
      </c>
      <c r="BB142" t="s">
        <v>317</v>
      </c>
    </row>
    <row r="143" spans="1:54" x14ac:dyDescent="0.3">
      <c r="A143">
        <v>1</v>
      </c>
      <c r="B143">
        <v>15</v>
      </c>
      <c r="C143" t="s">
        <v>54</v>
      </c>
      <c r="D143" s="3">
        <v>45881.495798611111</v>
      </c>
      <c r="E143" s="8">
        <v>46044</v>
      </c>
      <c r="F143" t="s">
        <v>911</v>
      </c>
      <c r="G143" t="s">
        <v>307</v>
      </c>
      <c r="H143" t="s">
        <v>912</v>
      </c>
      <c r="I143" t="s">
        <v>913</v>
      </c>
      <c r="J143" t="s">
        <v>59</v>
      </c>
      <c r="K143" t="s">
        <v>914</v>
      </c>
      <c r="L143" t="s">
        <v>699</v>
      </c>
      <c r="M143" t="s">
        <v>62</v>
      </c>
      <c r="O143" t="s">
        <v>918</v>
      </c>
      <c r="P143" t="s">
        <v>919</v>
      </c>
      <c r="Q143" s="5">
        <v>4</v>
      </c>
      <c r="R143" s="6">
        <v>87</v>
      </c>
      <c r="S143" s="6">
        <v>348</v>
      </c>
      <c r="T143" s="6">
        <v>216</v>
      </c>
      <c r="U143" s="3">
        <v>46301.229166666657</v>
      </c>
      <c r="W143" t="s">
        <v>915</v>
      </c>
      <c r="X143" t="s">
        <v>70</v>
      </c>
      <c r="Y143" t="s">
        <v>23</v>
      </c>
      <c r="Z143" t="s">
        <v>69</v>
      </c>
      <c r="AA143" t="s">
        <v>69</v>
      </c>
      <c r="AB143" t="s">
        <v>67</v>
      </c>
      <c r="AC143" t="s">
        <v>70</v>
      </c>
      <c r="AD143" t="s">
        <v>71</v>
      </c>
      <c r="AE143" t="s">
        <v>102</v>
      </c>
      <c r="AF143" t="s">
        <v>67</v>
      </c>
      <c r="AH143" t="b">
        <v>0</v>
      </c>
      <c r="AI143" t="b">
        <v>0</v>
      </c>
      <c r="AJ143" t="b">
        <v>0</v>
      </c>
      <c r="AK143" t="b">
        <v>0</v>
      </c>
      <c r="AL143" s="6">
        <v>54</v>
      </c>
      <c r="AM143" s="3">
        <v>46301.229166666657</v>
      </c>
      <c r="AN143">
        <v>1</v>
      </c>
      <c r="AO143" s="3"/>
      <c r="AT143" t="b">
        <v>0</v>
      </c>
      <c r="AU143" t="s">
        <v>74</v>
      </c>
      <c r="AV143" t="b">
        <v>1</v>
      </c>
      <c r="AW143" t="b">
        <v>0</v>
      </c>
      <c r="AX143" s="5">
        <v>0</v>
      </c>
      <c r="AY143" s="3"/>
      <c r="AZ143" t="s">
        <v>67</v>
      </c>
      <c r="BA143" t="s">
        <v>67</v>
      </c>
      <c r="BB143" t="s">
        <v>317</v>
      </c>
    </row>
    <row r="144" spans="1:54" x14ac:dyDescent="0.3">
      <c r="A144">
        <v>1</v>
      </c>
      <c r="B144">
        <v>15</v>
      </c>
      <c r="C144" t="s">
        <v>54</v>
      </c>
      <c r="D144" s="3">
        <v>45881.495798611111</v>
      </c>
      <c r="E144" s="8">
        <v>46044</v>
      </c>
      <c r="F144" t="s">
        <v>911</v>
      </c>
      <c r="G144" t="s">
        <v>307</v>
      </c>
      <c r="H144" t="s">
        <v>912</v>
      </c>
      <c r="I144" t="s">
        <v>913</v>
      </c>
      <c r="J144" t="s">
        <v>59</v>
      </c>
      <c r="K144" t="s">
        <v>914</v>
      </c>
      <c r="L144" t="s">
        <v>699</v>
      </c>
      <c r="M144" t="s">
        <v>62</v>
      </c>
      <c r="O144" t="s">
        <v>920</v>
      </c>
      <c r="P144" t="s">
        <v>921</v>
      </c>
      <c r="Q144" s="5">
        <v>1</v>
      </c>
      <c r="R144" s="6">
        <v>685</v>
      </c>
      <c r="S144" s="6">
        <v>685</v>
      </c>
      <c r="T144" s="6">
        <v>428</v>
      </c>
      <c r="U144" s="3">
        <v>46301.229166666657</v>
      </c>
      <c r="W144" t="s">
        <v>915</v>
      </c>
      <c r="X144" t="s">
        <v>70</v>
      </c>
      <c r="Y144" t="s">
        <v>23</v>
      </c>
      <c r="Z144" t="s">
        <v>69</v>
      </c>
      <c r="AA144" t="s">
        <v>69</v>
      </c>
      <c r="AB144" t="s">
        <v>67</v>
      </c>
      <c r="AC144" t="s">
        <v>70</v>
      </c>
      <c r="AD144" t="s">
        <v>71</v>
      </c>
      <c r="AE144" t="s">
        <v>102</v>
      </c>
      <c r="AF144" t="s">
        <v>67</v>
      </c>
      <c r="AH144" t="b">
        <v>0</v>
      </c>
      <c r="AI144" t="b">
        <v>0</v>
      </c>
      <c r="AJ144" t="b">
        <v>0</v>
      </c>
      <c r="AK144" t="b">
        <v>0</v>
      </c>
      <c r="AL144" s="6">
        <v>428</v>
      </c>
      <c r="AM144" s="3">
        <v>46301.229166666657</v>
      </c>
      <c r="AN144">
        <v>1</v>
      </c>
      <c r="AO144" s="3"/>
      <c r="AT144" t="b">
        <v>0</v>
      </c>
      <c r="AU144" t="s">
        <v>74</v>
      </c>
      <c r="AV144" t="b">
        <v>1</v>
      </c>
      <c r="AW144" t="b">
        <v>0</v>
      </c>
      <c r="AX144" s="5">
        <v>0</v>
      </c>
      <c r="AY144" s="3"/>
      <c r="AZ144" t="s">
        <v>67</v>
      </c>
      <c r="BA144" t="s">
        <v>67</v>
      </c>
      <c r="BB144" t="s">
        <v>317</v>
      </c>
    </row>
    <row r="145" spans="1:54" x14ac:dyDescent="0.3">
      <c r="A145">
        <v>1</v>
      </c>
      <c r="B145">
        <v>15</v>
      </c>
      <c r="C145" t="s">
        <v>54</v>
      </c>
      <c r="D145" s="3">
        <v>45881.495798611111</v>
      </c>
      <c r="E145" s="8">
        <v>46044</v>
      </c>
      <c r="F145" t="s">
        <v>911</v>
      </c>
      <c r="G145" t="s">
        <v>307</v>
      </c>
      <c r="H145" t="s">
        <v>912</v>
      </c>
      <c r="I145" t="s">
        <v>913</v>
      </c>
      <c r="J145" t="s">
        <v>59</v>
      </c>
      <c r="K145" t="s">
        <v>914</v>
      </c>
      <c r="L145" t="s">
        <v>699</v>
      </c>
      <c r="M145" t="s">
        <v>62</v>
      </c>
      <c r="O145" t="s">
        <v>903</v>
      </c>
      <c r="P145" t="s">
        <v>904</v>
      </c>
      <c r="Q145" s="5">
        <v>1</v>
      </c>
      <c r="R145" s="6">
        <v>173</v>
      </c>
      <c r="S145" s="6">
        <v>173</v>
      </c>
      <c r="T145" s="6">
        <v>108</v>
      </c>
      <c r="U145" s="3">
        <v>46301.229166666657</v>
      </c>
      <c r="W145" t="s">
        <v>915</v>
      </c>
      <c r="X145" t="s">
        <v>70</v>
      </c>
      <c r="Y145" t="s">
        <v>23</v>
      </c>
      <c r="Z145" t="s">
        <v>69</v>
      </c>
      <c r="AA145" t="s">
        <v>69</v>
      </c>
      <c r="AB145" t="s">
        <v>67</v>
      </c>
      <c r="AC145" t="s">
        <v>70</v>
      </c>
      <c r="AD145" t="s">
        <v>71</v>
      </c>
      <c r="AE145" t="s">
        <v>102</v>
      </c>
      <c r="AF145" t="s">
        <v>67</v>
      </c>
      <c r="AH145" t="b">
        <v>0</v>
      </c>
      <c r="AI145" t="b">
        <v>0</v>
      </c>
      <c r="AJ145" t="b">
        <v>0</v>
      </c>
      <c r="AK145" t="b">
        <v>0</v>
      </c>
      <c r="AL145" s="6">
        <v>108</v>
      </c>
      <c r="AM145" s="3">
        <v>46301.229166666657</v>
      </c>
      <c r="AN145">
        <v>1</v>
      </c>
      <c r="AO145" s="3"/>
      <c r="AT145" t="b">
        <v>0</v>
      </c>
      <c r="AU145" t="s">
        <v>74</v>
      </c>
      <c r="AV145" t="b">
        <v>1</v>
      </c>
      <c r="AW145" t="b">
        <v>0</v>
      </c>
      <c r="AX145" s="5">
        <v>0</v>
      </c>
      <c r="AY145" s="3"/>
      <c r="AZ145" t="s">
        <v>67</v>
      </c>
      <c r="BA145" t="s">
        <v>67</v>
      </c>
      <c r="BB145" t="s">
        <v>317</v>
      </c>
    </row>
    <row r="146" spans="1:54" x14ac:dyDescent="0.3">
      <c r="A146">
        <v>1</v>
      </c>
      <c r="B146">
        <v>15</v>
      </c>
      <c r="C146" t="s">
        <v>54</v>
      </c>
      <c r="D146" s="3">
        <v>45881.495798611111</v>
      </c>
      <c r="E146" s="8">
        <v>46044</v>
      </c>
      <c r="F146" t="s">
        <v>911</v>
      </c>
      <c r="G146" t="s">
        <v>307</v>
      </c>
      <c r="H146" t="s">
        <v>912</v>
      </c>
      <c r="I146" t="s">
        <v>913</v>
      </c>
      <c r="J146" t="s">
        <v>59</v>
      </c>
      <c r="K146" t="s">
        <v>914</v>
      </c>
      <c r="L146" t="s">
        <v>699</v>
      </c>
      <c r="M146" t="s">
        <v>62</v>
      </c>
      <c r="O146" t="s">
        <v>922</v>
      </c>
      <c r="P146" t="s">
        <v>923</v>
      </c>
      <c r="Q146" s="5">
        <v>1</v>
      </c>
      <c r="R146" s="6">
        <v>1047</v>
      </c>
      <c r="S146" s="6">
        <v>1047</v>
      </c>
      <c r="T146" s="6">
        <v>654</v>
      </c>
      <c r="U146" s="3">
        <v>46301.229166666657</v>
      </c>
      <c r="W146" t="s">
        <v>915</v>
      </c>
      <c r="X146" t="s">
        <v>70</v>
      </c>
      <c r="Y146" t="s">
        <v>23</v>
      </c>
      <c r="Z146" t="s">
        <v>69</v>
      </c>
      <c r="AA146" t="s">
        <v>69</v>
      </c>
      <c r="AB146" t="s">
        <v>67</v>
      </c>
      <c r="AC146" t="s">
        <v>70</v>
      </c>
      <c r="AD146" t="s">
        <v>71</v>
      </c>
      <c r="AF146" t="s">
        <v>67</v>
      </c>
      <c r="AH146" t="b">
        <v>0</v>
      </c>
      <c r="AI146" t="b">
        <v>0</v>
      </c>
      <c r="AJ146" t="b">
        <v>0</v>
      </c>
      <c r="AK146" t="b">
        <v>0</v>
      </c>
      <c r="AL146" s="6">
        <v>654</v>
      </c>
      <c r="AM146" s="3">
        <v>46301.229166666657</v>
      </c>
      <c r="AN146">
        <v>1</v>
      </c>
      <c r="AO146" s="3"/>
      <c r="AT146" t="b">
        <v>0</v>
      </c>
      <c r="AU146" t="s">
        <v>74</v>
      </c>
      <c r="AV146" t="b">
        <v>1</v>
      </c>
      <c r="AW146" t="b">
        <v>0</v>
      </c>
      <c r="AX146" s="5">
        <v>0</v>
      </c>
      <c r="AY146" s="3"/>
      <c r="AZ146" t="s">
        <v>67</v>
      </c>
      <c r="BA146" t="s">
        <v>67</v>
      </c>
      <c r="BB146" t="s">
        <v>317</v>
      </c>
    </row>
    <row r="147" spans="1:54" x14ac:dyDescent="0.3">
      <c r="A147">
        <v>1</v>
      </c>
      <c r="B147">
        <v>15</v>
      </c>
      <c r="C147" t="s">
        <v>54</v>
      </c>
      <c r="D147" s="3">
        <v>45881.495798611111</v>
      </c>
      <c r="E147" s="8">
        <v>46044</v>
      </c>
      <c r="F147" t="s">
        <v>911</v>
      </c>
      <c r="G147" t="s">
        <v>307</v>
      </c>
      <c r="H147" t="s">
        <v>912</v>
      </c>
      <c r="I147" t="s">
        <v>913</v>
      </c>
      <c r="J147" t="s">
        <v>59</v>
      </c>
      <c r="K147" t="s">
        <v>914</v>
      </c>
      <c r="L147" t="s">
        <v>699</v>
      </c>
      <c r="M147" t="s">
        <v>62</v>
      </c>
      <c r="O147" t="s">
        <v>924</v>
      </c>
      <c r="P147" t="s">
        <v>925</v>
      </c>
      <c r="Q147" s="5">
        <v>2</v>
      </c>
      <c r="R147" s="6">
        <v>520</v>
      </c>
      <c r="S147" s="6">
        <v>1040</v>
      </c>
      <c r="T147" s="6">
        <v>126.5</v>
      </c>
      <c r="U147" s="3">
        <v>46301.229166666657</v>
      </c>
      <c r="W147" t="s">
        <v>915</v>
      </c>
      <c r="X147" t="s">
        <v>70</v>
      </c>
      <c r="Y147" t="s">
        <v>68</v>
      </c>
      <c r="Z147" t="s">
        <v>69</v>
      </c>
      <c r="AA147" t="s">
        <v>69</v>
      </c>
      <c r="AB147" t="s">
        <v>67</v>
      </c>
      <c r="AC147" t="s">
        <v>70</v>
      </c>
      <c r="AD147" t="s">
        <v>71</v>
      </c>
      <c r="AE147" t="s">
        <v>220</v>
      </c>
      <c r="AF147" t="s">
        <v>67</v>
      </c>
      <c r="AG147" t="s">
        <v>926</v>
      </c>
      <c r="AH147" t="b">
        <v>0</v>
      </c>
      <c r="AI147" t="b">
        <v>0</v>
      </c>
      <c r="AJ147" t="b">
        <v>0</v>
      </c>
      <c r="AK147" t="b">
        <v>0</v>
      </c>
      <c r="AL147" s="6">
        <v>63.25</v>
      </c>
      <c r="AM147" s="3">
        <v>46301.229166666657</v>
      </c>
      <c r="AN147">
        <v>1</v>
      </c>
      <c r="AO147" s="3"/>
      <c r="AT147" t="b">
        <v>0</v>
      </c>
      <c r="AU147" t="s">
        <v>74</v>
      </c>
      <c r="AV147" t="b">
        <v>1</v>
      </c>
      <c r="AW147" t="b">
        <v>0</v>
      </c>
      <c r="AX147" s="5">
        <v>0</v>
      </c>
      <c r="AY147" s="3"/>
      <c r="AZ147" t="s">
        <v>67</v>
      </c>
      <c r="BA147" t="s">
        <v>67</v>
      </c>
      <c r="BB147" t="s">
        <v>317</v>
      </c>
    </row>
    <row r="148" spans="1:54" x14ac:dyDescent="0.3">
      <c r="A148">
        <v>1</v>
      </c>
      <c r="B148">
        <v>15</v>
      </c>
      <c r="C148" t="s">
        <v>54</v>
      </c>
      <c r="D148" s="3">
        <v>45881.495798611111</v>
      </c>
      <c r="E148" s="8">
        <v>46044</v>
      </c>
      <c r="F148" t="s">
        <v>911</v>
      </c>
      <c r="G148" t="s">
        <v>307</v>
      </c>
      <c r="H148" t="s">
        <v>912</v>
      </c>
      <c r="I148" t="s">
        <v>913</v>
      </c>
      <c r="J148" t="s">
        <v>59</v>
      </c>
      <c r="K148" t="s">
        <v>914</v>
      </c>
      <c r="L148" t="s">
        <v>699</v>
      </c>
      <c r="M148" t="s">
        <v>62</v>
      </c>
      <c r="O148" t="s">
        <v>927</v>
      </c>
      <c r="P148" t="s">
        <v>928</v>
      </c>
      <c r="Q148" s="5">
        <v>2</v>
      </c>
      <c r="R148" s="6">
        <v>520</v>
      </c>
      <c r="S148" s="6">
        <v>1040</v>
      </c>
      <c r="T148" s="6">
        <v>126.5</v>
      </c>
      <c r="U148" s="3">
        <v>46301.229166666657</v>
      </c>
      <c r="W148" t="s">
        <v>915</v>
      </c>
      <c r="X148" t="s">
        <v>70</v>
      </c>
      <c r="Y148" t="s">
        <v>68</v>
      </c>
      <c r="Z148" t="s">
        <v>69</v>
      </c>
      <c r="AA148" t="s">
        <v>69</v>
      </c>
      <c r="AB148" t="s">
        <v>67</v>
      </c>
      <c r="AC148" t="s">
        <v>70</v>
      </c>
      <c r="AD148" t="s">
        <v>71</v>
      </c>
      <c r="AE148" t="s">
        <v>220</v>
      </c>
      <c r="AF148" t="s">
        <v>67</v>
      </c>
      <c r="AG148" t="s">
        <v>929</v>
      </c>
      <c r="AH148" t="b">
        <v>0</v>
      </c>
      <c r="AI148" t="b">
        <v>0</v>
      </c>
      <c r="AJ148" t="b">
        <v>0</v>
      </c>
      <c r="AK148" t="b">
        <v>0</v>
      </c>
      <c r="AL148" s="6">
        <v>63.25</v>
      </c>
      <c r="AM148" s="3">
        <v>46301.229166666657</v>
      </c>
      <c r="AN148">
        <v>1</v>
      </c>
      <c r="AO148" s="3"/>
      <c r="AT148" t="b">
        <v>0</v>
      </c>
      <c r="AU148" t="s">
        <v>74</v>
      </c>
      <c r="AV148" t="b">
        <v>1</v>
      </c>
      <c r="AW148" t="b">
        <v>0</v>
      </c>
      <c r="AX148" s="5">
        <v>0</v>
      </c>
      <c r="AY148" s="3"/>
      <c r="AZ148" t="s">
        <v>67</v>
      </c>
      <c r="BA148" t="s">
        <v>67</v>
      </c>
      <c r="BB148" t="s">
        <v>317</v>
      </c>
    </row>
    <row r="149" spans="1:54" x14ac:dyDescent="0.3">
      <c r="A149">
        <v>1</v>
      </c>
      <c r="B149">
        <v>15</v>
      </c>
      <c r="C149" t="s">
        <v>54</v>
      </c>
      <c r="D149" s="3">
        <v>45881.495798611111</v>
      </c>
      <c r="E149" s="8">
        <v>46044</v>
      </c>
      <c r="F149" t="s">
        <v>911</v>
      </c>
      <c r="G149" t="s">
        <v>307</v>
      </c>
      <c r="H149" t="s">
        <v>912</v>
      </c>
      <c r="I149" t="s">
        <v>913</v>
      </c>
      <c r="J149" t="s">
        <v>59</v>
      </c>
      <c r="K149" t="s">
        <v>914</v>
      </c>
      <c r="L149" t="s">
        <v>699</v>
      </c>
      <c r="M149" t="s">
        <v>62</v>
      </c>
      <c r="O149" t="s">
        <v>930</v>
      </c>
      <c r="P149" t="s">
        <v>931</v>
      </c>
      <c r="Q149" s="5">
        <v>1</v>
      </c>
      <c r="R149" s="6">
        <v>133</v>
      </c>
      <c r="S149" s="6">
        <v>133</v>
      </c>
      <c r="T149" s="6">
        <v>48.3</v>
      </c>
      <c r="U149" s="3">
        <v>46301.229166666657</v>
      </c>
      <c r="W149" t="s">
        <v>915</v>
      </c>
      <c r="X149" t="s">
        <v>70</v>
      </c>
      <c r="Y149" t="s">
        <v>68</v>
      </c>
      <c r="Z149" t="s">
        <v>69</v>
      </c>
      <c r="AA149" t="s">
        <v>69</v>
      </c>
      <c r="AB149" t="s">
        <v>67</v>
      </c>
      <c r="AC149" t="s">
        <v>70</v>
      </c>
      <c r="AD149" t="s">
        <v>71</v>
      </c>
      <c r="AE149" t="s">
        <v>220</v>
      </c>
      <c r="AF149" t="s">
        <v>67</v>
      </c>
      <c r="AG149" t="s">
        <v>932</v>
      </c>
      <c r="AH149" t="b">
        <v>0</v>
      </c>
      <c r="AI149" t="b">
        <v>0</v>
      </c>
      <c r="AJ149" t="b">
        <v>0</v>
      </c>
      <c r="AK149" t="b">
        <v>0</v>
      </c>
      <c r="AL149" s="6">
        <v>48.3</v>
      </c>
      <c r="AM149" s="3">
        <v>46301.229166666657</v>
      </c>
      <c r="AN149">
        <v>1</v>
      </c>
      <c r="AO149" s="3"/>
      <c r="AT149" t="b">
        <v>0</v>
      </c>
      <c r="AU149" t="s">
        <v>74</v>
      </c>
      <c r="AV149" t="b">
        <v>1</v>
      </c>
      <c r="AW149" t="b">
        <v>0</v>
      </c>
      <c r="AX149" s="5">
        <v>0</v>
      </c>
      <c r="AY149" s="3"/>
      <c r="AZ149" t="s">
        <v>67</v>
      </c>
      <c r="BA149" t="s">
        <v>67</v>
      </c>
      <c r="BB149" t="s">
        <v>317</v>
      </c>
    </row>
    <row r="150" spans="1:54" x14ac:dyDescent="0.3">
      <c r="A150">
        <v>1</v>
      </c>
      <c r="B150">
        <v>15</v>
      </c>
      <c r="C150" t="s">
        <v>54</v>
      </c>
      <c r="D150" s="3">
        <v>45881.495798611111</v>
      </c>
      <c r="E150" s="8">
        <v>46044</v>
      </c>
      <c r="F150" t="s">
        <v>911</v>
      </c>
      <c r="G150" t="s">
        <v>307</v>
      </c>
      <c r="H150" t="s">
        <v>912</v>
      </c>
      <c r="I150" t="s">
        <v>913</v>
      </c>
      <c r="J150" t="s">
        <v>59</v>
      </c>
      <c r="K150" t="s">
        <v>914</v>
      </c>
      <c r="L150" t="s">
        <v>699</v>
      </c>
      <c r="M150" t="s">
        <v>62</v>
      </c>
      <c r="O150" t="s">
        <v>933</v>
      </c>
      <c r="P150" t="s">
        <v>934</v>
      </c>
      <c r="Q150" s="5">
        <v>2</v>
      </c>
      <c r="R150" s="6">
        <v>324</v>
      </c>
      <c r="S150" s="6">
        <v>648</v>
      </c>
      <c r="T150" s="6">
        <v>235.52</v>
      </c>
      <c r="U150" s="3">
        <v>46301.229166666657</v>
      </c>
      <c r="W150" t="s">
        <v>915</v>
      </c>
      <c r="X150" t="s">
        <v>70</v>
      </c>
      <c r="Y150" t="s">
        <v>68</v>
      </c>
      <c r="Z150" t="s">
        <v>69</v>
      </c>
      <c r="AA150" t="s">
        <v>69</v>
      </c>
      <c r="AB150" t="s">
        <v>67</v>
      </c>
      <c r="AC150" t="s">
        <v>70</v>
      </c>
      <c r="AD150" t="s">
        <v>71</v>
      </c>
      <c r="AE150" t="s">
        <v>220</v>
      </c>
      <c r="AF150" t="s">
        <v>67</v>
      </c>
      <c r="AG150" t="s">
        <v>935</v>
      </c>
      <c r="AH150" t="b">
        <v>0</v>
      </c>
      <c r="AI150" t="b">
        <v>0</v>
      </c>
      <c r="AJ150" t="b">
        <v>0</v>
      </c>
      <c r="AK150" t="b">
        <v>0</v>
      </c>
      <c r="AL150" s="6">
        <v>117.76</v>
      </c>
      <c r="AM150" s="3">
        <v>46301.229166666657</v>
      </c>
      <c r="AN150">
        <v>1</v>
      </c>
      <c r="AO150" s="3"/>
      <c r="AT150" t="b">
        <v>0</v>
      </c>
      <c r="AU150" t="s">
        <v>74</v>
      </c>
      <c r="AV150" t="b">
        <v>1</v>
      </c>
      <c r="AW150" t="b">
        <v>0</v>
      </c>
      <c r="AX150" s="5">
        <v>0</v>
      </c>
      <c r="AY150" s="3"/>
      <c r="AZ150" t="s">
        <v>67</v>
      </c>
      <c r="BA150" t="s">
        <v>67</v>
      </c>
      <c r="BB150" t="s">
        <v>317</v>
      </c>
    </row>
    <row r="151" spans="1:54" x14ac:dyDescent="0.3">
      <c r="A151">
        <v>1</v>
      </c>
      <c r="B151">
        <v>15</v>
      </c>
      <c r="C151" t="s">
        <v>54</v>
      </c>
      <c r="D151" s="3">
        <v>45881.495798611111</v>
      </c>
      <c r="E151" s="8">
        <v>46044</v>
      </c>
      <c r="F151" t="s">
        <v>911</v>
      </c>
      <c r="G151" t="s">
        <v>307</v>
      </c>
      <c r="H151" t="s">
        <v>912</v>
      </c>
      <c r="I151" t="s">
        <v>913</v>
      </c>
      <c r="J151" t="s">
        <v>59</v>
      </c>
      <c r="K151" t="s">
        <v>914</v>
      </c>
      <c r="L151" t="s">
        <v>699</v>
      </c>
      <c r="M151" t="s">
        <v>62</v>
      </c>
      <c r="O151" t="s">
        <v>936</v>
      </c>
      <c r="P151" t="s">
        <v>937</v>
      </c>
      <c r="Q151" s="5">
        <v>4</v>
      </c>
      <c r="R151" s="6">
        <v>71</v>
      </c>
      <c r="S151" s="6">
        <v>284</v>
      </c>
      <c r="T151" s="6">
        <v>103.04</v>
      </c>
      <c r="U151" s="3">
        <v>46301.229166666657</v>
      </c>
      <c r="W151" t="s">
        <v>915</v>
      </c>
      <c r="X151" t="s">
        <v>70</v>
      </c>
      <c r="Y151" t="s">
        <v>68</v>
      </c>
      <c r="Z151" t="s">
        <v>69</v>
      </c>
      <c r="AA151" t="s">
        <v>69</v>
      </c>
      <c r="AB151" t="s">
        <v>67</v>
      </c>
      <c r="AC151" t="s">
        <v>70</v>
      </c>
      <c r="AD151" t="s">
        <v>71</v>
      </c>
      <c r="AE151" t="s">
        <v>220</v>
      </c>
      <c r="AF151" t="s">
        <v>67</v>
      </c>
      <c r="AG151" t="s">
        <v>938</v>
      </c>
      <c r="AH151" t="b">
        <v>0</v>
      </c>
      <c r="AI151" t="b">
        <v>0</v>
      </c>
      <c r="AJ151" t="b">
        <v>0</v>
      </c>
      <c r="AK151" t="b">
        <v>0</v>
      </c>
      <c r="AL151" s="6">
        <v>25.76</v>
      </c>
      <c r="AM151" s="3">
        <v>46301.229166666657</v>
      </c>
      <c r="AN151">
        <v>1</v>
      </c>
      <c r="AO151" s="3"/>
      <c r="AT151" t="b">
        <v>0</v>
      </c>
      <c r="AU151" t="s">
        <v>74</v>
      </c>
      <c r="AV151" t="b">
        <v>1</v>
      </c>
      <c r="AW151" t="b">
        <v>0</v>
      </c>
      <c r="AX151" s="5">
        <v>0</v>
      </c>
      <c r="AY151" s="3"/>
      <c r="AZ151" t="s">
        <v>67</v>
      </c>
      <c r="BA151" t="s">
        <v>67</v>
      </c>
      <c r="BB151" t="s">
        <v>317</v>
      </c>
    </row>
    <row r="152" spans="1:54" x14ac:dyDescent="0.3">
      <c r="A152">
        <v>1</v>
      </c>
      <c r="B152">
        <v>15</v>
      </c>
      <c r="C152" t="s">
        <v>54</v>
      </c>
      <c r="D152" s="3">
        <v>45881.495798611111</v>
      </c>
      <c r="E152" s="8">
        <v>46044</v>
      </c>
      <c r="F152" t="s">
        <v>911</v>
      </c>
      <c r="G152" t="s">
        <v>307</v>
      </c>
      <c r="H152" t="s">
        <v>912</v>
      </c>
      <c r="I152" t="s">
        <v>913</v>
      </c>
      <c r="J152" t="s">
        <v>59</v>
      </c>
      <c r="K152" t="s">
        <v>914</v>
      </c>
      <c r="L152" t="s">
        <v>699</v>
      </c>
      <c r="M152" t="s">
        <v>62</v>
      </c>
      <c r="O152" t="s">
        <v>939</v>
      </c>
      <c r="P152" t="s">
        <v>940</v>
      </c>
      <c r="Q152" s="5">
        <v>4</v>
      </c>
      <c r="R152" s="6">
        <v>56</v>
      </c>
      <c r="S152" s="6">
        <v>224</v>
      </c>
      <c r="T152" s="6">
        <v>80.959999999999994</v>
      </c>
      <c r="U152" s="3">
        <v>46301.229166666657</v>
      </c>
      <c r="W152" t="s">
        <v>915</v>
      </c>
      <c r="X152" t="s">
        <v>70</v>
      </c>
      <c r="Y152" t="s">
        <v>68</v>
      </c>
      <c r="Z152" t="s">
        <v>69</v>
      </c>
      <c r="AA152" t="s">
        <v>69</v>
      </c>
      <c r="AB152" t="s">
        <v>67</v>
      </c>
      <c r="AC152" t="s">
        <v>70</v>
      </c>
      <c r="AD152" t="s">
        <v>71</v>
      </c>
      <c r="AE152" t="s">
        <v>220</v>
      </c>
      <c r="AF152" t="s">
        <v>67</v>
      </c>
      <c r="AG152" t="s">
        <v>941</v>
      </c>
      <c r="AH152" t="b">
        <v>0</v>
      </c>
      <c r="AI152" t="b">
        <v>0</v>
      </c>
      <c r="AJ152" t="b">
        <v>0</v>
      </c>
      <c r="AK152" t="b">
        <v>0</v>
      </c>
      <c r="AL152" s="6">
        <v>20.239999999999998</v>
      </c>
      <c r="AM152" s="3">
        <v>46301.229166666657</v>
      </c>
      <c r="AN152">
        <v>1</v>
      </c>
      <c r="AO152" s="3"/>
      <c r="AT152" t="b">
        <v>0</v>
      </c>
      <c r="AU152" t="s">
        <v>74</v>
      </c>
      <c r="AV152" t="b">
        <v>1</v>
      </c>
      <c r="AW152" t="b">
        <v>0</v>
      </c>
      <c r="AX152" s="5">
        <v>0</v>
      </c>
      <c r="AY152" s="3"/>
      <c r="AZ152" t="s">
        <v>67</v>
      </c>
      <c r="BA152" t="s">
        <v>67</v>
      </c>
      <c r="BB152" t="s">
        <v>317</v>
      </c>
    </row>
    <row r="153" spans="1:54" x14ac:dyDescent="0.3">
      <c r="A153">
        <v>1</v>
      </c>
      <c r="B153">
        <v>15</v>
      </c>
      <c r="C153" t="s">
        <v>54</v>
      </c>
      <c r="D153" s="3">
        <v>45881.495798611111</v>
      </c>
      <c r="E153" s="8">
        <v>46044</v>
      </c>
      <c r="F153" t="s">
        <v>911</v>
      </c>
      <c r="G153" t="s">
        <v>307</v>
      </c>
      <c r="H153" t="s">
        <v>912</v>
      </c>
      <c r="I153" t="s">
        <v>913</v>
      </c>
      <c r="J153" t="s">
        <v>59</v>
      </c>
      <c r="K153" t="s">
        <v>914</v>
      </c>
      <c r="L153" t="s">
        <v>699</v>
      </c>
      <c r="M153" t="s">
        <v>62</v>
      </c>
      <c r="O153" t="s">
        <v>942</v>
      </c>
      <c r="P153" t="s">
        <v>943</v>
      </c>
      <c r="Q153" s="5">
        <v>4</v>
      </c>
      <c r="R153" s="6">
        <v>150</v>
      </c>
      <c r="S153" s="6">
        <v>600</v>
      </c>
      <c r="T153" s="6">
        <v>217.12</v>
      </c>
      <c r="U153" s="3">
        <v>46301.229166666657</v>
      </c>
      <c r="W153" t="s">
        <v>915</v>
      </c>
      <c r="X153" t="s">
        <v>70</v>
      </c>
      <c r="Y153" t="s">
        <v>68</v>
      </c>
      <c r="Z153" t="s">
        <v>69</v>
      </c>
      <c r="AA153" t="s">
        <v>69</v>
      </c>
      <c r="AB153" t="s">
        <v>67</v>
      </c>
      <c r="AC153" t="s">
        <v>70</v>
      </c>
      <c r="AD153" t="s">
        <v>71</v>
      </c>
      <c r="AE153" t="s">
        <v>220</v>
      </c>
      <c r="AF153" t="s">
        <v>67</v>
      </c>
      <c r="AG153" t="s">
        <v>944</v>
      </c>
      <c r="AH153" t="b">
        <v>0</v>
      </c>
      <c r="AI153" t="b">
        <v>0</v>
      </c>
      <c r="AJ153" t="b">
        <v>0</v>
      </c>
      <c r="AK153" t="b">
        <v>0</v>
      </c>
      <c r="AL153" s="6">
        <v>54.28</v>
      </c>
      <c r="AM153" s="3">
        <v>46301.229166666657</v>
      </c>
      <c r="AN153">
        <v>1</v>
      </c>
      <c r="AO153" s="3"/>
      <c r="AT153" t="b">
        <v>0</v>
      </c>
      <c r="AU153" t="s">
        <v>74</v>
      </c>
      <c r="AV153" t="b">
        <v>1</v>
      </c>
      <c r="AW153" t="b">
        <v>0</v>
      </c>
      <c r="AX153" s="5">
        <v>0</v>
      </c>
      <c r="AY153" s="3"/>
      <c r="AZ153" t="s">
        <v>67</v>
      </c>
      <c r="BA153" t="s">
        <v>67</v>
      </c>
      <c r="BB153" t="s">
        <v>317</v>
      </c>
    </row>
    <row r="154" spans="1:54" x14ac:dyDescent="0.3">
      <c r="A154">
        <v>1</v>
      </c>
      <c r="B154">
        <v>15</v>
      </c>
      <c r="C154" t="s">
        <v>54</v>
      </c>
      <c r="D154" s="3">
        <v>45881.495798611111</v>
      </c>
      <c r="E154" s="8">
        <v>46044</v>
      </c>
      <c r="F154" t="s">
        <v>911</v>
      </c>
      <c r="G154" t="s">
        <v>307</v>
      </c>
      <c r="H154" t="s">
        <v>912</v>
      </c>
      <c r="I154" t="s">
        <v>913</v>
      </c>
      <c r="J154" t="s">
        <v>59</v>
      </c>
      <c r="K154" t="s">
        <v>914</v>
      </c>
      <c r="L154" t="s">
        <v>699</v>
      </c>
      <c r="M154" t="s">
        <v>62</v>
      </c>
      <c r="O154" t="s">
        <v>295</v>
      </c>
      <c r="P154" t="s">
        <v>296</v>
      </c>
      <c r="Q154" s="5">
        <v>4</v>
      </c>
      <c r="R154" s="6">
        <v>61</v>
      </c>
      <c r="S154" s="6">
        <v>244</v>
      </c>
      <c r="T154" s="6">
        <v>88.32</v>
      </c>
      <c r="U154" s="3">
        <v>46301.229166666657</v>
      </c>
      <c r="W154" t="s">
        <v>915</v>
      </c>
      <c r="X154" t="s">
        <v>70</v>
      </c>
      <c r="Y154" t="s">
        <v>68</v>
      </c>
      <c r="Z154" t="s">
        <v>69</v>
      </c>
      <c r="AA154" t="s">
        <v>69</v>
      </c>
      <c r="AB154" t="s">
        <v>67</v>
      </c>
      <c r="AC154" t="s">
        <v>70</v>
      </c>
      <c r="AD154" t="s">
        <v>71</v>
      </c>
      <c r="AE154" t="s">
        <v>220</v>
      </c>
      <c r="AF154" t="s">
        <v>67</v>
      </c>
      <c r="AG154" t="s">
        <v>297</v>
      </c>
      <c r="AH154" t="b">
        <v>0</v>
      </c>
      <c r="AI154" t="b">
        <v>0</v>
      </c>
      <c r="AJ154" t="b">
        <v>0</v>
      </c>
      <c r="AK154" t="b">
        <v>0</v>
      </c>
      <c r="AL154" s="6">
        <v>22.08</v>
      </c>
      <c r="AM154" s="3">
        <v>46301.229166666657</v>
      </c>
      <c r="AN154">
        <v>1</v>
      </c>
      <c r="AO154" s="3"/>
      <c r="AT154" t="b">
        <v>0</v>
      </c>
      <c r="AU154" t="s">
        <v>74</v>
      </c>
      <c r="AV154" t="b">
        <v>1</v>
      </c>
      <c r="AW154" t="b">
        <v>0</v>
      </c>
      <c r="AX154" s="5">
        <v>0</v>
      </c>
      <c r="AY154" s="3"/>
      <c r="AZ154" t="s">
        <v>67</v>
      </c>
      <c r="BA154" t="s">
        <v>67</v>
      </c>
      <c r="BB154" t="s">
        <v>317</v>
      </c>
    </row>
    <row r="155" spans="1:54" x14ac:dyDescent="0.3">
      <c r="A155">
        <v>1</v>
      </c>
      <c r="B155">
        <v>15</v>
      </c>
      <c r="C155" t="s">
        <v>54</v>
      </c>
      <c r="D155" s="3">
        <v>45925.416273148148</v>
      </c>
      <c r="E155" s="8">
        <v>45925</v>
      </c>
      <c r="F155" t="s">
        <v>945</v>
      </c>
      <c r="G155" t="s">
        <v>307</v>
      </c>
      <c r="H155" t="s">
        <v>946</v>
      </c>
      <c r="I155" t="s">
        <v>947</v>
      </c>
      <c r="J155" t="s">
        <v>363</v>
      </c>
      <c r="K155" t="s">
        <v>610</v>
      </c>
      <c r="L155" t="s">
        <v>741</v>
      </c>
      <c r="M155" t="s">
        <v>366</v>
      </c>
      <c r="O155" t="s">
        <v>531</v>
      </c>
      <c r="P155" t="s">
        <v>532</v>
      </c>
      <c r="Q155" s="5">
        <v>2</v>
      </c>
      <c r="R155" s="6">
        <v>25</v>
      </c>
      <c r="S155" s="6">
        <v>50</v>
      </c>
      <c r="T155" s="6">
        <v>19.760000000000002</v>
      </c>
      <c r="U155" s="3">
        <v>46316.270833333343</v>
      </c>
      <c r="W155" t="s">
        <v>948</v>
      </c>
      <c r="X155" t="s">
        <v>67</v>
      </c>
      <c r="Y155" t="s">
        <v>68</v>
      </c>
      <c r="Z155" t="s">
        <v>521</v>
      </c>
      <c r="AA155" t="s">
        <v>522</v>
      </c>
      <c r="AB155" t="s">
        <v>67</v>
      </c>
      <c r="AC155" t="s">
        <v>70</v>
      </c>
      <c r="AD155" t="s">
        <v>745</v>
      </c>
      <c r="AE155" t="s">
        <v>371</v>
      </c>
      <c r="AF155" t="s">
        <v>67</v>
      </c>
      <c r="AG155" t="s">
        <v>531</v>
      </c>
      <c r="AH155" t="b">
        <v>0</v>
      </c>
      <c r="AI155" t="b">
        <v>0</v>
      </c>
      <c r="AJ155" t="b">
        <v>0</v>
      </c>
      <c r="AK155" t="b">
        <v>0</v>
      </c>
      <c r="AL155" s="6">
        <v>9.8800000000000008</v>
      </c>
      <c r="AM155" s="3">
        <v>46316.270833333343</v>
      </c>
      <c r="AN155">
        <v>1</v>
      </c>
      <c r="AO155" s="3"/>
      <c r="AT155" t="b">
        <v>0</v>
      </c>
      <c r="AU155" t="s">
        <v>74</v>
      </c>
      <c r="AV155" t="b">
        <v>1</v>
      </c>
      <c r="AW155" t="b">
        <v>0</v>
      </c>
      <c r="AX155" s="5">
        <v>0</v>
      </c>
      <c r="AY155" s="3"/>
      <c r="AZ155" t="s">
        <v>67</v>
      </c>
      <c r="BA155" t="s">
        <v>67</v>
      </c>
      <c r="BB155" t="s">
        <v>317</v>
      </c>
    </row>
    <row r="156" spans="1:54" x14ac:dyDescent="0.3">
      <c r="A156">
        <v>1</v>
      </c>
      <c r="B156">
        <v>15</v>
      </c>
      <c r="C156" t="s">
        <v>54</v>
      </c>
      <c r="D156" s="3">
        <v>45925.618333333332</v>
      </c>
      <c r="E156" s="8">
        <v>45925</v>
      </c>
      <c r="F156" t="s">
        <v>949</v>
      </c>
      <c r="G156" t="s">
        <v>307</v>
      </c>
      <c r="H156" t="s">
        <v>950</v>
      </c>
      <c r="I156" t="s">
        <v>951</v>
      </c>
      <c r="J156" t="s">
        <v>363</v>
      </c>
      <c r="K156" t="s">
        <v>952</v>
      </c>
      <c r="L156" t="s">
        <v>365</v>
      </c>
      <c r="M156" t="s">
        <v>366</v>
      </c>
      <c r="O156" t="s">
        <v>531</v>
      </c>
      <c r="P156" t="s">
        <v>532</v>
      </c>
      <c r="Q156" s="5">
        <v>1</v>
      </c>
      <c r="R156" s="6">
        <v>25</v>
      </c>
      <c r="S156" s="6">
        <v>25</v>
      </c>
      <c r="T156" s="6">
        <v>9.8800000000000008</v>
      </c>
      <c r="U156" s="3">
        <v>46288.527777777781</v>
      </c>
      <c r="W156" t="s">
        <v>953</v>
      </c>
      <c r="X156" t="s">
        <v>67</v>
      </c>
      <c r="Y156" t="s">
        <v>68</v>
      </c>
      <c r="Z156" t="s">
        <v>521</v>
      </c>
      <c r="AA156" t="s">
        <v>522</v>
      </c>
      <c r="AB156" t="s">
        <v>67</v>
      </c>
      <c r="AC156" t="s">
        <v>70</v>
      </c>
      <c r="AD156" t="s">
        <v>370</v>
      </c>
      <c r="AE156" t="s">
        <v>371</v>
      </c>
      <c r="AF156" t="s">
        <v>67</v>
      </c>
      <c r="AG156" t="s">
        <v>531</v>
      </c>
      <c r="AH156" t="b">
        <v>0</v>
      </c>
      <c r="AI156" t="b">
        <v>0</v>
      </c>
      <c r="AJ156" t="b">
        <v>0</v>
      </c>
      <c r="AK156" t="b">
        <v>0</v>
      </c>
      <c r="AL156" s="6">
        <v>9.8800000000000008</v>
      </c>
      <c r="AM156" s="3">
        <v>46288.527777777781</v>
      </c>
      <c r="AN156">
        <v>1</v>
      </c>
      <c r="AO156" s="3"/>
      <c r="AT156" t="b">
        <v>0</v>
      </c>
      <c r="AU156" t="s">
        <v>74</v>
      </c>
      <c r="AV156" t="b">
        <v>1</v>
      </c>
      <c r="AW156" t="b">
        <v>0</v>
      </c>
      <c r="AX156" s="5">
        <v>0</v>
      </c>
      <c r="AY156" s="3"/>
      <c r="AZ156" t="s">
        <v>67</v>
      </c>
      <c r="BA156" t="s">
        <v>67</v>
      </c>
      <c r="BB156" t="s">
        <v>317</v>
      </c>
    </row>
    <row r="157" spans="1:54" x14ac:dyDescent="0.3">
      <c r="A157">
        <v>1</v>
      </c>
      <c r="B157">
        <v>15</v>
      </c>
      <c r="C157" t="s">
        <v>54</v>
      </c>
      <c r="D157" s="3">
        <v>45925.692881944437</v>
      </c>
      <c r="E157" s="8">
        <v>45925</v>
      </c>
      <c r="F157" t="s">
        <v>954</v>
      </c>
      <c r="G157" t="s">
        <v>307</v>
      </c>
      <c r="H157" t="s">
        <v>955</v>
      </c>
      <c r="I157" t="s">
        <v>956</v>
      </c>
      <c r="J157" t="s">
        <v>363</v>
      </c>
      <c r="K157" t="s">
        <v>952</v>
      </c>
      <c r="L157" t="s">
        <v>741</v>
      </c>
      <c r="M157" t="s">
        <v>366</v>
      </c>
      <c r="O157" t="s">
        <v>742</v>
      </c>
      <c r="P157" t="s">
        <v>743</v>
      </c>
      <c r="Q157" s="5">
        <v>1</v>
      </c>
      <c r="R157" s="6">
        <v>519</v>
      </c>
      <c r="S157" s="6">
        <v>519</v>
      </c>
      <c r="T157" s="6">
        <v>324</v>
      </c>
      <c r="U157" s="3">
        <v>46260.583333333343</v>
      </c>
      <c r="W157" t="s">
        <v>957</v>
      </c>
      <c r="X157" t="s">
        <v>70</v>
      </c>
      <c r="Y157" t="s">
        <v>23</v>
      </c>
      <c r="Z157" t="s">
        <v>69</v>
      </c>
      <c r="AA157" t="s">
        <v>69</v>
      </c>
      <c r="AB157" t="s">
        <v>67</v>
      </c>
      <c r="AC157" t="s">
        <v>70</v>
      </c>
      <c r="AD157" t="s">
        <v>745</v>
      </c>
      <c r="AE157" t="s">
        <v>102</v>
      </c>
      <c r="AF157" t="s">
        <v>67</v>
      </c>
      <c r="AH157" t="b">
        <v>0</v>
      </c>
      <c r="AI157" t="b">
        <v>0</v>
      </c>
      <c r="AJ157" t="b">
        <v>0</v>
      </c>
      <c r="AK157" t="b">
        <v>0</v>
      </c>
      <c r="AL157" s="6">
        <v>324</v>
      </c>
      <c r="AM157" s="3">
        <v>46260.583333333343</v>
      </c>
      <c r="AN157">
        <v>1</v>
      </c>
      <c r="AO157" s="3"/>
      <c r="AT157" t="b">
        <v>0</v>
      </c>
      <c r="AU157" t="s">
        <v>74</v>
      </c>
      <c r="AV157" t="b">
        <v>1</v>
      </c>
      <c r="AW157" t="b">
        <v>0</v>
      </c>
      <c r="AX157" s="5">
        <v>0</v>
      </c>
      <c r="AY157" s="3"/>
      <c r="AZ157" t="s">
        <v>67</v>
      </c>
      <c r="BA157" t="s">
        <v>67</v>
      </c>
      <c r="BB157" t="s">
        <v>317</v>
      </c>
    </row>
    <row r="158" spans="1:54" x14ac:dyDescent="0.3">
      <c r="A158">
        <v>1</v>
      </c>
      <c r="B158">
        <v>15</v>
      </c>
      <c r="C158" t="s">
        <v>54</v>
      </c>
      <c r="D158" s="3">
        <v>45972.483541666668</v>
      </c>
      <c r="E158" s="8">
        <v>45994</v>
      </c>
      <c r="F158" t="s">
        <v>958</v>
      </c>
      <c r="G158" t="s">
        <v>307</v>
      </c>
      <c r="H158" t="s">
        <v>959</v>
      </c>
      <c r="I158" t="s">
        <v>960</v>
      </c>
      <c r="J158" t="s">
        <v>59</v>
      </c>
      <c r="K158" t="s">
        <v>164</v>
      </c>
      <c r="L158" t="s">
        <v>61</v>
      </c>
      <c r="M158" t="s">
        <v>62</v>
      </c>
      <c r="N158" t="s">
        <v>62</v>
      </c>
      <c r="O158" t="s">
        <v>82</v>
      </c>
      <c r="P158" t="s">
        <v>83</v>
      </c>
      <c r="Q158" s="5">
        <v>3</v>
      </c>
      <c r="R158" s="6">
        <v>140</v>
      </c>
      <c r="S158" s="6">
        <v>420</v>
      </c>
      <c r="T158" s="6">
        <v>279.3</v>
      </c>
      <c r="U158" s="3">
        <v>46217.291666666657</v>
      </c>
      <c r="V158" t="s">
        <v>961</v>
      </c>
      <c r="W158" t="s">
        <v>962</v>
      </c>
      <c r="X158" t="s">
        <v>67</v>
      </c>
      <c r="Y158" t="s">
        <v>68</v>
      </c>
      <c r="Z158" t="s">
        <v>69</v>
      </c>
      <c r="AA158" t="s">
        <v>69</v>
      </c>
      <c r="AB158" t="s">
        <v>67</v>
      </c>
      <c r="AC158" t="s">
        <v>70</v>
      </c>
      <c r="AD158" t="s">
        <v>71</v>
      </c>
      <c r="AE158" t="s">
        <v>84</v>
      </c>
      <c r="AF158" t="s">
        <v>67</v>
      </c>
      <c r="AG158" t="s">
        <v>82</v>
      </c>
      <c r="AH158" t="b">
        <v>0</v>
      </c>
      <c r="AI158" t="b">
        <v>0</v>
      </c>
      <c r="AJ158" t="b">
        <v>0</v>
      </c>
      <c r="AK158" t="b">
        <v>0</v>
      </c>
      <c r="AL158" s="6">
        <v>93.1</v>
      </c>
      <c r="AM158" s="3">
        <v>46217.291666666657</v>
      </c>
      <c r="AN158">
        <v>1</v>
      </c>
      <c r="AO158" s="3"/>
      <c r="AT158" t="b">
        <v>0</v>
      </c>
      <c r="AU158" t="s">
        <v>74</v>
      </c>
      <c r="AV158" t="b">
        <v>1</v>
      </c>
      <c r="AW158" t="b">
        <v>0</v>
      </c>
      <c r="AX158" s="5">
        <v>0</v>
      </c>
      <c r="AY158" s="3"/>
      <c r="AZ158" t="s">
        <v>67</v>
      </c>
      <c r="BA158" t="s">
        <v>67</v>
      </c>
      <c r="BB158" t="s">
        <v>317</v>
      </c>
    </row>
    <row r="159" spans="1:54" x14ac:dyDescent="0.3">
      <c r="A159">
        <v>1</v>
      </c>
      <c r="B159">
        <v>15</v>
      </c>
      <c r="C159" t="s">
        <v>54</v>
      </c>
      <c r="D159" s="3">
        <v>45972.483541666668</v>
      </c>
      <c r="E159" s="8">
        <v>45994</v>
      </c>
      <c r="F159" t="s">
        <v>958</v>
      </c>
      <c r="G159" t="s">
        <v>307</v>
      </c>
      <c r="H159" t="s">
        <v>959</v>
      </c>
      <c r="I159" t="s">
        <v>960</v>
      </c>
      <c r="J159" t="s">
        <v>59</v>
      </c>
      <c r="K159" t="s">
        <v>164</v>
      </c>
      <c r="L159" t="s">
        <v>61</v>
      </c>
      <c r="M159" t="s">
        <v>62</v>
      </c>
      <c r="N159" t="s">
        <v>62</v>
      </c>
      <c r="O159" t="s">
        <v>963</v>
      </c>
      <c r="P159" t="s">
        <v>964</v>
      </c>
      <c r="Q159" s="5">
        <v>2</v>
      </c>
      <c r="R159" s="6">
        <v>520</v>
      </c>
      <c r="S159" s="6">
        <v>1040</v>
      </c>
      <c r="T159" s="6">
        <v>126.5</v>
      </c>
      <c r="U159" s="3">
        <v>46217.291666666657</v>
      </c>
      <c r="V159" t="s">
        <v>961</v>
      </c>
      <c r="W159" t="s">
        <v>962</v>
      </c>
      <c r="X159" t="s">
        <v>67</v>
      </c>
      <c r="Y159" t="s">
        <v>68</v>
      </c>
      <c r="Z159" t="s">
        <v>69</v>
      </c>
      <c r="AA159" t="s">
        <v>69</v>
      </c>
      <c r="AB159" t="s">
        <v>67</v>
      </c>
      <c r="AC159" t="s">
        <v>70</v>
      </c>
      <c r="AD159" t="s">
        <v>71</v>
      </c>
      <c r="AE159" t="s">
        <v>220</v>
      </c>
      <c r="AF159" t="s">
        <v>67</v>
      </c>
      <c r="AG159" t="s">
        <v>965</v>
      </c>
      <c r="AH159" t="b">
        <v>0</v>
      </c>
      <c r="AI159" t="b">
        <v>0</v>
      </c>
      <c r="AJ159" t="b">
        <v>0</v>
      </c>
      <c r="AK159" t="b">
        <v>0</v>
      </c>
      <c r="AL159" s="6">
        <v>63.25</v>
      </c>
      <c r="AM159" s="3">
        <v>46217.291666666657</v>
      </c>
      <c r="AN159">
        <v>1</v>
      </c>
      <c r="AO159" s="3"/>
      <c r="AT159" t="b">
        <v>0</v>
      </c>
      <c r="AU159" t="s">
        <v>74</v>
      </c>
      <c r="AV159" t="b">
        <v>1</v>
      </c>
      <c r="AW159" t="b">
        <v>0</v>
      </c>
      <c r="AX159" s="5">
        <v>0</v>
      </c>
      <c r="AY159" s="3"/>
      <c r="AZ159" t="s">
        <v>67</v>
      </c>
      <c r="BA159" t="s">
        <v>67</v>
      </c>
      <c r="BB159" t="s">
        <v>317</v>
      </c>
    </row>
    <row r="160" spans="1:54" x14ac:dyDescent="0.3">
      <c r="A160">
        <v>1</v>
      </c>
      <c r="B160">
        <v>15</v>
      </c>
      <c r="C160" t="s">
        <v>54</v>
      </c>
      <c r="D160" s="3">
        <v>45972.483541666668</v>
      </c>
      <c r="E160" s="8">
        <v>45994</v>
      </c>
      <c r="F160" t="s">
        <v>958</v>
      </c>
      <c r="G160" t="s">
        <v>307</v>
      </c>
      <c r="H160" t="s">
        <v>959</v>
      </c>
      <c r="I160" t="s">
        <v>960</v>
      </c>
      <c r="J160" t="s">
        <v>59</v>
      </c>
      <c r="K160" t="s">
        <v>164</v>
      </c>
      <c r="L160" t="s">
        <v>61</v>
      </c>
      <c r="M160" t="s">
        <v>62</v>
      </c>
      <c r="N160" t="s">
        <v>62</v>
      </c>
      <c r="O160" t="s">
        <v>251</v>
      </c>
      <c r="P160" t="s">
        <v>252</v>
      </c>
      <c r="Q160" s="5">
        <v>2</v>
      </c>
      <c r="R160" s="6">
        <v>520</v>
      </c>
      <c r="S160" s="6">
        <v>1040</v>
      </c>
      <c r="T160" s="6">
        <v>126.5</v>
      </c>
      <c r="U160" s="3">
        <v>46217.291666666657</v>
      </c>
      <c r="V160" t="s">
        <v>961</v>
      </c>
      <c r="W160" t="s">
        <v>962</v>
      </c>
      <c r="X160" t="s">
        <v>67</v>
      </c>
      <c r="Y160" t="s">
        <v>68</v>
      </c>
      <c r="Z160" t="s">
        <v>69</v>
      </c>
      <c r="AA160" t="s">
        <v>69</v>
      </c>
      <c r="AB160" t="s">
        <v>67</v>
      </c>
      <c r="AC160" t="s">
        <v>70</v>
      </c>
      <c r="AD160" t="s">
        <v>71</v>
      </c>
      <c r="AE160" t="s">
        <v>220</v>
      </c>
      <c r="AF160" t="s">
        <v>67</v>
      </c>
      <c r="AG160" t="s">
        <v>253</v>
      </c>
      <c r="AH160" t="b">
        <v>0</v>
      </c>
      <c r="AI160" t="b">
        <v>0</v>
      </c>
      <c r="AJ160" t="b">
        <v>0</v>
      </c>
      <c r="AK160" t="b">
        <v>0</v>
      </c>
      <c r="AL160" s="6">
        <v>63.25</v>
      </c>
      <c r="AM160" s="3">
        <v>46217.291666666657</v>
      </c>
      <c r="AN160">
        <v>1</v>
      </c>
      <c r="AO160" s="3"/>
      <c r="AT160" t="b">
        <v>0</v>
      </c>
      <c r="AU160" t="s">
        <v>74</v>
      </c>
      <c r="AV160" t="b">
        <v>1</v>
      </c>
      <c r="AW160" t="b">
        <v>0</v>
      </c>
      <c r="AX160" s="5">
        <v>0</v>
      </c>
      <c r="AY160" s="3"/>
      <c r="AZ160" t="s">
        <v>67</v>
      </c>
      <c r="BA160" t="s">
        <v>67</v>
      </c>
      <c r="BB160" t="s">
        <v>317</v>
      </c>
    </row>
    <row r="161" spans="1:54" x14ac:dyDescent="0.3">
      <c r="A161">
        <v>1</v>
      </c>
      <c r="B161">
        <v>15</v>
      </c>
      <c r="C161" t="s">
        <v>54</v>
      </c>
      <c r="D161" s="3">
        <v>45972.483541666668</v>
      </c>
      <c r="E161" s="8">
        <v>45994</v>
      </c>
      <c r="F161" t="s">
        <v>958</v>
      </c>
      <c r="G161" t="s">
        <v>307</v>
      </c>
      <c r="H161" t="s">
        <v>959</v>
      </c>
      <c r="I161" t="s">
        <v>960</v>
      </c>
      <c r="J161" t="s">
        <v>59</v>
      </c>
      <c r="K161" t="s">
        <v>164</v>
      </c>
      <c r="L161" t="s">
        <v>61</v>
      </c>
      <c r="M161" t="s">
        <v>62</v>
      </c>
      <c r="N161" t="s">
        <v>62</v>
      </c>
      <c r="O161" t="s">
        <v>247</v>
      </c>
      <c r="P161" t="s">
        <v>248</v>
      </c>
      <c r="Q161" s="5">
        <v>4</v>
      </c>
      <c r="R161" s="6">
        <v>36</v>
      </c>
      <c r="S161" s="6">
        <v>144</v>
      </c>
      <c r="T161" s="6">
        <v>51.52</v>
      </c>
      <c r="U161" s="3">
        <v>46217.291666666657</v>
      </c>
      <c r="V161" t="s">
        <v>961</v>
      </c>
      <c r="W161" t="s">
        <v>962</v>
      </c>
      <c r="X161" t="s">
        <v>67</v>
      </c>
      <c r="Y161" t="s">
        <v>68</v>
      </c>
      <c r="Z161" t="s">
        <v>69</v>
      </c>
      <c r="AA161" t="s">
        <v>69</v>
      </c>
      <c r="AB161" t="s">
        <v>67</v>
      </c>
      <c r="AC161" t="s">
        <v>70</v>
      </c>
      <c r="AD161" t="s">
        <v>71</v>
      </c>
      <c r="AE161" t="s">
        <v>220</v>
      </c>
      <c r="AF161" t="s">
        <v>67</v>
      </c>
      <c r="AG161" t="s">
        <v>250</v>
      </c>
      <c r="AH161" t="b">
        <v>0</v>
      </c>
      <c r="AI161" t="b">
        <v>0</v>
      </c>
      <c r="AJ161" t="b">
        <v>0</v>
      </c>
      <c r="AK161" t="b">
        <v>0</v>
      </c>
      <c r="AL161" s="6">
        <v>12.88</v>
      </c>
      <c r="AM161" s="3">
        <v>46217.291666666657</v>
      </c>
      <c r="AN161">
        <v>1</v>
      </c>
      <c r="AO161" s="3"/>
      <c r="AT161" t="b">
        <v>0</v>
      </c>
      <c r="AU161" t="s">
        <v>74</v>
      </c>
      <c r="AV161" t="b">
        <v>1</v>
      </c>
      <c r="AW161" t="b">
        <v>0</v>
      </c>
      <c r="AX161" s="5">
        <v>0</v>
      </c>
      <c r="AY161" s="3"/>
      <c r="AZ161" t="s">
        <v>67</v>
      </c>
      <c r="BA161" t="s">
        <v>67</v>
      </c>
      <c r="BB161" t="s">
        <v>317</v>
      </c>
    </row>
    <row r="162" spans="1:54" x14ac:dyDescent="0.3">
      <c r="A162">
        <v>1</v>
      </c>
      <c r="B162">
        <v>15</v>
      </c>
      <c r="C162" t="s">
        <v>54</v>
      </c>
      <c r="D162" s="3">
        <v>45972.483541666668</v>
      </c>
      <c r="E162" s="8">
        <v>45994</v>
      </c>
      <c r="F162" t="s">
        <v>958</v>
      </c>
      <c r="G162" t="s">
        <v>307</v>
      </c>
      <c r="H162" t="s">
        <v>959</v>
      </c>
      <c r="I162" t="s">
        <v>960</v>
      </c>
      <c r="J162" t="s">
        <v>59</v>
      </c>
      <c r="K162" t="s">
        <v>164</v>
      </c>
      <c r="L162" t="s">
        <v>61</v>
      </c>
      <c r="M162" t="s">
        <v>62</v>
      </c>
      <c r="N162" t="s">
        <v>62</v>
      </c>
      <c r="O162" t="s">
        <v>225</v>
      </c>
      <c r="P162" t="s">
        <v>226</v>
      </c>
      <c r="Q162" s="5">
        <v>4</v>
      </c>
      <c r="R162" s="6">
        <v>71</v>
      </c>
      <c r="S162" s="6">
        <v>284</v>
      </c>
      <c r="T162" s="6">
        <v>103.04</v>
      </c>
      <c r="U162" s="3">
        <v>46217.291666666657</v>
      </c>
      <c r="V162" t="s">
        <v>961</v>
      </c>
      <c r="W162" t="s">
        <v>962</v>
      </c>
      <c r="X162" t="s">
        <v>67</v>
      </c>
      <c r="Y162" t="s">
        <v>68</v>
      </c>
      <c r="Z162" t="s">
        <v>69</v>
      </c>
      <c r="AA162" t="s">
        <v>69</v>
      </c>
      <c r="AB162" t="s">
        <v>67</v>
      </c>
      <c r="AC162" t="s">
        <v>70</v>
      </c>
      <c r="AD162" t="s">
        <v>71</v>
      </c>
      <c r="AE162" t="s">
        <v>220</v>
      </c>
      <c r="AF162" t="s">
        <v>67</v>
      </c>
      <c r="AG162" t="s">
        <v>227</v>
      </c>
      <c r="AH162" t="b">
        <v>0</v>
      </c>
      <c r="AI162" t="b">
        <v>0</v>
      </c>
      <c r="AJ162" t="b">
        <v>0</v>
      </c>
      <c r="AK162" t="b">
        <v>0</v>
      </c>
      <c r="AL162" s="6">
        <v>25.76</v>
      </c>
      <c r="AM162" s="3">
        <v>46217.291666666657</v>
      </c>
      <c r="AN162">
        <v>1</v>
      </c>
      <c r="AO162" s="3"/>
      <c r="AT162" t="b">
        <v>0</v>
      </c>
      <c r="AU162" t="s">
        <v>74</v>
      </c>
      <c r="AV162" t="b">
        <v>1</v>
      </c>
      <c r="AW162" t="b">
        <v>0</v>
      </c>
      <c r="AX162" s="5">
        <v>0</v>
      </c>
      <c r="AY162" s="3"/>
      <c r="AZ162" t="s">
        <v>67</v>
      </c>
      <c r="BA162" t="s">
        <v>67</v>
      </c>
      <c r="BB162" t="s">
        <v>317</v>
      </c>
    </row>
    <row r="163" spans="1:54" x14ac:dyDescent="0.3">
      <c r="A163">
        <v>1</v>
      </c>
      <c r="B163">
        <v>15</v>
      </c>
      <c r="C163" t="s">
        <v>54</v>
      </c>
      <c r="D163" s="3">
        <v>45972.483541666668</v>
      </c>
      <c r="E163" s="8">
        <v>45994</v>
      </c>
      <c r="F163" t="s">
        <v>958</v>
      </c>
      <c r="G163" t="s">
        <v>307</v>
      </c>
      <c r="H163" t="s">
        <v>959</v>
      </c>
      <c r="I163" t="s">
        <v>960</v>
      </c>
      <c r="J163" t="s">
        <v>59</v>
      </c>
      <c r="K163" t="s">
        <v>164</v>
      </c>
      <c r="L163" t="s">
        <v>61</v>
      </c>
      <c r="M163" t="s">
        <v>62</v>
      </c>
      <c r="N163" t="s">
        <v>62</v>
      </c>
      <c r="O163" t="s">
        <v>966</v>
      </c>
      <c r="P163" t="s">
        <v>967</v>
      </c>
      <c r="Q163" s="5">
        <v>2</v>
      </c>
      <c r="R163" s="6">
        <v>75</v>
      </c>
      <c r="S163" s="6">
        <v>150</v>
      </c>
      <c r="T163" s="6">
        <v>54.4</v>
      </c>
      <c r="U163" s="3">
        <v>46217.291666666657</v>
      </c>
      <c r="V163" t="s">
        <v>961</v>
      </c>
      <c r="W163" t="s">
        <v>962</v>
      </c>
      <c r="X163" t="s">
        <v>67</v>
      </c>
      <c r="Y163" t="s">
        <v>68</v>
      </c>
      <c r="Z163" t="s">
        <v>69</v>
      </c>
      <c r="AA163" t="s">
        <v>69</v>
      </c>
      <c r="AB163" t="s">
        <v>67</v>
      </c>
      <c r="AC163" t="s">
        <v>70</v>
      </c>
      <c r="AD163" t="s">
        <v>71</v>
      </c>
      <c r="AE163" t="s">
        <v>185</v>
      </c>
      <c r="AF163" t="s">
        <v>67</v>
      </c>
      <c r="AG163" t="s">
        <v>968</v>
      </c>
      <c r="AH163" t="b">
        <v>0</v>
      </c>
      <c r="AI163" t="b">
        <v>0</v>
      </c>
      <c r="AJ163" t="b">
        <v>0</v>
      </c>
      <c r="AK163" t="b">
        <v>0</v>
      </c>
      <c r="AL163" s="6">
        <v>27.2</v>
      </c>
      <c r="AM163" s="3">
        <v>46217.291666666657</v>
      </c>
      <c r="AN163">
        <v>1</v>
      </c>
      <c r="AO163" s="3"/>
      <c r="AT163" t="b">
        <v>0</v>
      </c>
      <c r="AU163" t="s">
        <v>74</v>
      </c>
      <c r="AV163" t="b">
        <v>1</v>
      </c>
      <c r="AW163" t="b">
        <v>0</v>
      </c>
      <c r="AX163" s="5">
        <v>0</v>
      </c>
      <c r="AY163" s="3"/>
      <c r="AZ163" t="s">
        <v>67</v>
      </c>
      <c r="BA163" t="s">
        <v>67</v>
      </c>
      <c r="BB163" t="s">
        <v>317</v>
      </c>
    </row>
    <row r="164" spans="1:54" x14ac:dyDescent="0.3">
      <c r="A164">
        <v>1</v>
      </c>
      <c r="B164">
        <v>15</v>
      </c>
      <c r="C164" t="s">
        <v>54</v>
      </c>
      <c r="D164" s="3">
        <v>45972.483541666668</v>
      </c>
      <c r="E164" s="8">
        <v>45994</v>
      </c>
      <c r="F164" t="s">
        <v>958</v>
      </c>
      <c r="G164" t="s">
        <v>307</v>
      </c>
      <c r="H164" t="s">
        <v>959</v>
      </c>
      <c r="I164" t="s">
        <v>960</v>
      </c>
      <c r="J164" t="s">
        <v>59</v>
      </c>
      <c r="K164" t="s">
        <v>164</v>
      </c>
      <c r="L164" t="s">
        <v>61</v>
      </c>
      <c r="M164" t="s">
        <v>62</v>
      </c>
      <c r="N164" t="s">
        <v>62</v>
      </c>
      <c r="O164" t="s">
        <v>969</v>
      </c>
      <c r="P164" t="s">
        <v>970</v>
      </c>
      <c r="Q164" s="5">
        <v>2</v>
      </c>
      <c r="R164" s="6">
        <v>630</v>
      </c>
      <c r="S164" s="6">
        <v>1260</v>
      </c>
      <c r="T164" s="6">
        <v>415.2</v>
      </c>
      <c r="U164" s="3">
        <v>46217.291666666657</v>
      </c>
      <c r="V164" t="s">
        <v>961</v>
      </c>
      <c r="W164" t="s">
        <v>962</v>
      </c>
      <c r="X164" t="s">
        <v>67</v>
      </c>
      <c r="Y164" t="s">
        <v>68</v>
      </c>
      <c r="Z164" t="s">
        <v>69</v>
      </c>
      <c r="AA164" t="s">
        <v>69</v>
      </c>
      <c r="AB164" t="s">
        <v>67</v>
      </c>
      <c r="AC164" t="s">
        <v>70</v>
      </c>
      <c r="AD164" t="s">
        <v>71</v>
      </c>
      <c r="AE164" t="s">
        <v>185</v>
      </c>
      <c r="AF164" t="s">
        <v>67</v>
      </c>
      <c r="AG164" t="s">
        <v>971</v>
      </c>
      <c r="AH164" t="b">
        <v>0</v>
      </c>
      <c r="AI164" t="b">
        <v>0</v>
      </c>
      <c r="AJ164" t="b">
        <v>0</v>
      </c>
      <c r="AK164" t="b">
        <v>0</v>
      </c>
      <c r="AL164" s="6">
        <v>207.6</v>
      </c>
      <c r="AM164" s="3">
        <v>46217.291666666657</v>
      </c>
      <c r="AN164">
        <v>1</v>
      </c>
      <c r="AO164" s="3"/>
      <c r="AT164" t="b">
        <v>0</v>
      </c>
      <c r="AU164" t="s">
        <v>74</v>
      </c>
      <c r="AV164" t="b">
        <v>1</v>
      </c>
      <c r="AW164" t="b">
        <v>0</v>
      </c>
      <c r="AX164" s="5">
        <v>0</v>
      </c>
      <c r="AY164" s="3"/>
      <c r="AZ164" t="s">
        <v>67</v>
      </c>
      <c r="BA164" t="s">
        <v>67</v>
      </c>
      <c r="BB164" t="s">
        <v>317</v>
      </c>
    </row>
    <row r="165" spans="1:54" x14ac:dyDescent="0.3">
      <c r="A165">
        <v>1</v>
      </c>
      <c r="B165">
        <v>15</v>
      </c>
      <c r="C165" t="s">
        <v>54</v>
      </c>
      <c r="D165" s="3">
        <v>45987.73337962963</v>
      </c>
      <c r="E165" s="8">
        <v>46078</v>
      </c>
      <c r="F165" t="s">
        <v>972</v>
      </c>
      <c r="G165" t="s">
        <v>307</v>
      </c>
      <c r="H165" t="s">
        <v>973</v>
      </c>
      <c r="I165" t="s">
        <v>974</v>
      </c>
      <c r="J165" t="s">
        <v>363</v>
      </c>
      <c r="K165" t="s">
        <v>740</v>
      </c>
      <c r="L165" t="s">
        <v>741</v>
      </c>
      <c r="M165" t="s">
        <v>366</v>
      </c>
      <c r="N165" t="s">
        <v>366</v>
      </c>
      <c r="O165" t="s">
        <v>506</v>
      </c>
      <c r="P165" t="s">
        <v>507</v>
      </c>
      <c r="Q165" s="5">
        <v>2</v>
      </c>
      <c r="R165" s="6">
        <v>237.8</v>
      </c>
      <c r="S165" s="6">
        <v>475.6</v>
      </c>
      <c r="T165" s="6">
        <v>226.42</v>
      </c>
      <c r="U165" s="3">
        <v>46169.604166666657</v>
      </c>
      <c r="W165" t="s">
        <v>975</v>
      </c>
      <c r="X165" t="s">
        <v>67</v>
      </c>
      <c r="Y165" t="s">
        <v>68</v>
      </c>
      <c r="Z165" t="s">
        <v>69</v>
      </c>
      <c r="AA165" t="s">
        <v>69</v>
      </c>
      <c r="AB165" t="s">
        <v>67</v>
      </c>
      <c r="AC165" t="s">
        <v>70</v>
      </c>
      <c r="AD165" t="s">
        <v>745</v>
      </c>
      <c r="AE165" t="s">
        <v>371</v>
      </c>
      <c r="AF165" t="s">
        <v>67</v>
      </c>
      <c r="AG165" t="s">
        <v>509</v>
      </c>
      <c r="AH165" t="b">
        <v>0</v>
      </c>
      <c r="AI165" t="b">
        <v>0</v>
      </c>
      <c r="AJ165" t="b">
        <v>1</v>
      </c>
      <c r="AK165" t="b">
        <v>0</v>
      </c>
      <c r="AL165" s="6">
        <v>113.21</v>
      </c>
      <c r="AM165" s="3">
        <v>46169.604166666657</v>
      </c>
      <c r="AN165">
        <v>1</v>
      </c>
      <c r="AO165" s="3"/>
      <c r="AT165" t="b">
        <v>0</v>
      </c>
      <c r="AU165" t="s">
        <v>74</v>
      </c>
      <c r="AV165" t="b">
        <v>1</v>
      </c>
      <c r="AW165" t="b">
        <v>0</v>
      </c>
      <c r="AX165" s="5">
        <v>0</v>
      </c>
      <c r="AY165" s="3"/>
      <c r="AZ165" t="s">
        <v>67</v>
      </c>
      <c r="BA165" t="s">
        <v>67</v>
      </c>
      <c r="BB165" t="s">
        <v>317</v>
      </c>
    </row>
    <row r="166" spans="1:54" x14ac:dyDescent="0.3">
      <c r="A166">
        <v>1</v>
      </c>
      <c r="B166">
        <v>15</v>
      </c>
      <c r="C166" t="s">
        <v>54</v>
      </c>
      <c r="D166" s="3">
        <v>46000.486944444441</v>
      </c>
      <c r="E166" s="8">
        <v>46003</v>
      </c>
      <c r="F166" t="s">
        <v>976</v>
      </c>
      <c r="G166" t="s">
        <v>307</v>
      </c>
      <c r="H166" t="s">
        <v>977</v>
      </c>
      <c r="I166" t="s">
        <v>978</v>
      </c>
      <c r="J166" t="s">
        <v>59</v>
      </c>
      <c r="K166" t="s">
        <v>902</v>
      </c>
      <c r="L166" t="s">
        <v>61</v>
      </c>
      <c r="M166" t="s">
        <v>62</v>
      </c>
      <c r="N166" t="s">
        <v>63</v>
      </c>
      <c r="O166" t="s">
        <v>752</v>
      </c>
      <c r="P166" t="s">
        <v>753</v>
      </c>
      <c r="Q166" s="5">
        <v>1</v>
      </c>
      <c r="R166" s="6">
        <v>80</v>
      </c>
      <c r="S166" s="6">
        <v>80</v>
      </c>
      <c r="T166" s="6">
        <v>0</v>
      </c>
      <c r="U166" s="3">
        <v>46280.458333333343</v>
      </c>
      <c r="W166" t="s">
        <v>979</v>
      </c>
      <c r="X166" t="s">
        <v>70</v>
      </c>
      <c r="Y166" t="s">
        <v>23</v>
      </c>
      <c r="Z166" t="s">
        <v>69</v>
      </c>
      <c r="AA166" t="s">
        <v>69</v>
      </c>
      <c r="AB166" t="s">
        <v>67</v>
      </c>
      <c r="AC166" t="s">
        <v>70</v>
      </c>
      <c r="AD166" t="s">
        <v>71</v>
      </c>
      <c r="AE166" t="s">
        <v>102</v>
      </c>
      <c r="AF166" t="s">
        <v>67</v>
      </c>
      <c r="AG166" t="s">
        <v>752</v>
      </c>
      <c r="AH166" t="b">
        <v>0</v>
      </c>
      <c r="AI166" t="b">
        <v>0</v>
      </c>
      <c r="AJ166" t="b">
        <v>0</v>
      </c>
      <c r="AK166" t="b">
        <v>0</v>
      </c>
      <c r="AL166" s="6">
        <v>0</v>
      </c>
      <c r="AM166" s="3">
        <v>46280.458333333343</v>
      </c>
      <c r="AN166">
        <v>1</v>
      </c>
      <c r="AO166" s="3"/>
      <c r="AT166" t="b">
        <v>0</v>
      </c>
      <c r="AU166" t="s">
        <v>74</v>
      </c>
      <c r="AV166" t="b">
        <v>1</v>
      </c>
      <c r="AW166" t="b">
        <v>0</v>
      </c>
      <c r="AX166" s="5">
        <v>0</v>
      </c>
      <c r="AY166" s="3"/>
      <c r="AZ166" t="s">
        <v>67</v>
      </c>
      <c r="BA166" t="s">
        <v>67</v>
      </c>
      <c r="BB166" t="s">
        <v>317</v>
      </c>
    </row>
    <row r="167" spans="1:54" x14ac:dyDescent="0.3">
      <c r="A167">
        <v>1</v>
      </c>
      <c r="B167">
        <v>15</v>
      </c>
      <c r="C167" t="s">
        <v>54</v>
      </c>
      <c r="D167" s="3">
        <v>46000.695370370369</v>
      </c>
      <c r="E167" s="8">
        <v>46003</v>
      </c>
      <c r="F167" t="s">
        <v>980</v>
      </c>
      <c r="G167" t="s">
        <v>307</v>
      </c>
      <c r="H167" t="s">
        <v>977</v>
      </c>
      <c r="I167" t="s">
        <v>978</v>
      </c>
      <c r="J167" t="s">
        <v>59</v>
      </c>
      <c r="K167" t="s">
        <v>902</v>
      </c>
      <c r="L167" t="s">
        <v>61</v>
      </c>
      <c r="M167" t="s">
        <v>62</v>
      </c>
      <c r="N167" t="s">
        <v>63</v>
      </c>
      <c r="O167" t="s">
        <v>121</v>
      </c>
      <c r="P167" t="s">
        <v>122</v>
      </c>
      <c r="Q167" s="5">
        <v>2</v>
      </c>
      <c r="R167" s="6">
        <v>53</v>
      </c>
      <c r="S167" s="6">
        <v>106</v>
      </c>
      <c r="T167" s="6">
        <v>66</v>
      </c>
      <c r="U167" s="3">
        <v>46280.458333333343</v>
      </c>
      <c r="W167" t="s">
        <v>979</v>
      </c>
      <c r="X167" t="s">
        <v>70</v>
      </c>
      <c r="Y167" t="s">
        <v>23</v>
      </c>
      <c r="Z167" t="s">
        <v>521</v>
      </c>
      <c r="AA167" t="s">
        <v>522</v>
      </c>
      <c r="AB167" t="s">
        <v>67</v>
      </c>
      <c r="AC167" t="s">
        <v>70</v>
      </c>
      <c r="AD167" t="s">
        <v>71</v>
      </c>
      <c r="AF167" t="s">
        <v>67</v>
      </c>
      <c r="AH167" t="b">
        <v>0</v>
      </c>
      <c r="AI167" t="b">
        <v>0</v>
      </c>
      <c r="AJ167" t="b">
        <v>0</v>
      </c>
      <c r="AK167" t="b">
        <v>0</v>
      </c>
      <c r="AL167" s="6">
        <v>33</v>
      </c>
      <c r="AM167" s="3">
        <v>46280.458333333343</v>
      </c>
      <c r="AN167">
        <v>1</v>
      </c>
      <c r="AO167" s="3"/>
      <c r="AT167" t="b">
        <v>0</v>
      </c>
      <c r="AU167" t="s">
        <v>74</v>
      </c>
      <c r="AV167" t="b">
        <v>1</v>
      </c>
      <c r="AW167" t="b">
        <v>0</v>
      </c>
      <c r="AX167" s="5">
        <v>0</v>
      </c>
      <c r="AY167" s="3"/>
      <c r="AZ167" t="s">
        <v>67</v>
      </c>
      <c r="BA167" t="s">
        <v>67</v>
      </c>
      <c r="BB167" t="s">
        <v>317</v>
      </c>
    </row>
    <row r="168" spans="1:54" x14ac:dyDescent="0.3">
      <c r="A168">
        <v>1</v>
      </c>
      <c r="B168">
        <v>15</v>
      </c>
      <c r="C168" t="s">
        <v>54</v>
      </c>
      <c r="D168" s="3">
        <v>46041.351782407408</v>
      </c>
      <c r="E168" s="8">
        <v>46044</v>
      </c>
      <c r="F168" t="s">
        <v>981</v>
      </c>
      <c r="G168" t="s">
        <v>307</v>
      </c>
      <c r="H168" t="s">
        <v>912</v>
      </c>
      <c r="I168" t="s">
        <v>913</v>
      </c>
      <c r="J168" t="s">
        <v>59</v>
      </c>
      <c r="K168" t="s">
        <v>914</v>
      </c>
      <c r="L168" t="s">
        <v>699</v>
      </c>
      <c r="M168" t="s">
        <v>62</v>
      </c>
      <c r="O168" t="s">
        <v>930</v>
      </c>
      <c r="P168" t="s">
        <v>931</v>
      </c>
      <c r="Q168" s="5">
        <v>1</v>
      </c>
      <c r="R168" s="6">
        <v>133</v>
      </c>
      <c r="S168" s="6">
        <v>133</v>
      </c>
      <c r="T168" s="6">
        <v>48.3</v>
      </c>
      <c r="U168" s="3">
        <v>46301.229166666657</v>
      </c>
      <c r="W168" t="s">
        <v>915</v>
      </c>
      <c r="X168" t="s">
        <v>67</v>
      </c>
      <c r="Y168" t="s">
        <v>68</v>
      </c>
      <c r="Z168" t="s">
        <v>69</v>
      </c>
      <c r="AA168" t="s">
        <v>69</v>
      </c>
      <c r="AB168" t="s">
        <v>67</v>
      </c>
      <c r="AC168" t="s">
        <v>70</v>
      </c>
      <c r="AD168" t="s">
        <v>71</v>
      </c>
      <c r="AE168" t="s">
        <v>220</v>
      </c>
      <c r="AF168" t="s">
        <v>67</v>
      </c>
      <c r="AG168" t="s">
        <v>932</v>
      </c>
      <c r="AH168" t="b">
        <v>0</v>
      </c>
      <c r="AI168" t="b">
        <v>0</v>
      </c>
      <c r="AJ168" t="b">
        <v>0</v>
      </c>
      <c r="AK168" t="b">
        <v>0</v>
      </c>
      <c r="AL168" s="6">
        <v>48.3</v>
      </c>
      <c r="AM168" s="3">
        <v>46301.229166666657</v>
      </c>
      <c r="AN168">
        <v>1</v>
      </c>
      <c r="AO168" s="3"/>
      <c r="AT168" t="b">
        <v>0</v>
      </c>
      <c r="AU168" t="s">
        <v>74</v>
      </c>
      <c r="AV168" t="b">
        <v>1</v>
      </c>
      <c r="AW168" t="b">
        <v>0</v>
      </c>
      <c r="AX168" s="5">
        <v>0</v>
      </c>
      <c r="AY168" s="3"/>
      <c r="AZ168" t="s">
        <v>67</v>
      </c>
      <c r="BA168" t="s">
        <v>67</v>
      </c>
      <c r="BB168" t="s">
        <v>317</v>
      </c>
    </row>
    <row r="169" spans="1:54" x14ac:dyDescent="0.3">
      <c r="A169">
        <v>1</v>
      </c>
      <c r="B169">
        <v>15</v>
      </c>
      <c r="C169" t="s">
        <v>54</v>
      </c>
      <c r="D169" s="3">
        <v>46050.467349537037</v>
      </c>
      <c r="E169" s="8">
        <v>46050</v>
      </c>
      <c r="F169" t="s">
        <v>982</v>
      </c>
      <c r="G169" t="s">
        <v>307</v>
      </c>
      <c r="H169" t="s">
        <v>983</v>
      </c>
      <c r="I169" t="s">
        <v>984</v>
      </c>
      <c r="J169" t="s">
        <v>363</v>
      </c>
      <c r="K169" t="s">
        <v>985</v>
      </c>
      <c r="L169" t="s">
        <v>986</v>
      </c>
      <c r="M169" t="s">
        <v>366</v>
      </c>
      <c r="N169" t="s">
        <v>366</v>
      </c>
      <c r="O169" t="s">
        <v>742</v>
      </c>
      <c r="P169" t="s">
        <v>743</v>
      </c>
      <c r="Q169" s="5">
        <v>1</v>
      </c>
      <c r="R169" s="6">
        <v>519</v>
      </c>
      <c r="S169" s="6">
        <v>519</v>
      </c>
      <c r="T169" s="6">
        <v>324</v>
      </c>
      <c r="U169" s="3">
        <v>46260.4375</v>
      </c>
      <c r="W169" t="s">
        <v>987</v>
      </c>
      <c r="X169" t="s">
        <v>70</v>
      </c>
      <c r="Y169" t="s">
        <v>23</v>
      </c>
      <c r="Z169" t="s">
        <v>69</v>
      </c>
      <c r="AA169" t="s">
        <v>69</v>
      </c>
      <c r="AB169" t="s">
        <v>67</v>
      </c>
      <c r="AC169" t="s">
        <v>70</v>
      </c>
      <c r="AD169" t="s">
        <v>370</v>
      </c>
      <c r="AE169" t="s">
        <v>102</v>
      </c>
      <c r="AF169" t="s">
        <v>67</v>
      </c>
      <c r="AH169" t="b">
        <v>0</v>
      </c>
      <c r="AI169" t="b">
        <v>0</v>
      </c>
      <c r="AJ169" t="b">
        <v>0</v>
      </c>
      <c r="AK169" t="b">
        <v>0</v>
      </c>
      <c r="AL169" s="6">
        <v>324</v>
      </c>
      <c r="AM169" s="3">
        <v>46260.4375</v>
      </c>
      <c r="AN169">
        <v>1</v>
      </c>
      <c r="AO169" s="3"/>
      <c r="AT169" t="b">
        <v>0</v>
      </c>
      <c r="AU169" t="s">
        <v>74</v>
      </c>
      <c r="AV169" t="b">
        <v>1</v>
      </c>
      <c r="AW169" t="b">
        <v>0</v>
      </c>
      <c r="AX169" s="5">
        <v>0</v>
      </c>
      <c r="AY169" s="3"/>
      <c r="AZ169" t="s">
        <v>67</v>
      </c>
      <c r="BA169" t="s">
        <v>67</v>
      </c>
      <c r="BB169" t="s">
        <v>317</v>
      </c>
    </row>
    <row r="170" spans="1:54" x14ac:dyDescent="0.3">
      <c r="A170">
        <v>1</v>
      </c>
      <c r="B170">
        <v>15</v>
      </c>
      <c r="C170" t="s">
        <v>54</v>
      </c>
      <c r="D170" s="3">
        <v>46053.40625</v>
      </c>
      <c r="E170" s="8">
        <v>46080</v>
      </c>
      <c r="F170" t="s">
        <v>988</v>
      </c>
      <c r="G170" t="s">
        <v>307</v>
      </c>
      <c r="H170" t="s">
        <v>989</v>
      </c>
      <c r="I170" t="s">
        <v>990</v>
      </c>
      <c r="J170" t="s">
        <v>749</v>
      </c>
      <c r="K170" t="s">
        <v>991</v>
      </c>
      <c r="L170" t="s">
        <v>751</v>
      </c>
      <c r="M170" t="s">
        <v>97</v>
      </c>
      <c r="N170" t="s">
        <v>97</v>
      </c>
      <c r="O170" t="s">
        <v>992</v>
      </c>
      <c r="P170" t="s">
        <v>993</v>
      </c>
      <c r="Q170" s="5">
        <v>1</v>
      </c>
      <c r="R170" s="6">
        <v>1108</v>
      </c>
      <c r="S170" s="6">
        <v>1108</v>
      </c>
      <c r="T170" s="6">
        <v>692</v>
      </c>
      <c r="U170" s="3">
        <v>46297.25</v>
      </c>
      <c r="W170" t="s">
        <v>994</v>
      </c>
      <c r="X170" t="s">
        <v>70</v>
      </c>
      <c r="Y170" t="s">
        <v>23</v>
      </c>
      <c r="Z170" t="s">
        <v>69</v>
      </c>
      <c r="AA170" t="s">
        <v>69</v>
      </c>
      <c r="AB170" t="s">
        <v>67</v>
      </c>
      <c r="AC170" t="s">
        <v>70</v>
      </c>
      <c r="AD170" t="s">
        <v>101</v>
      </c>
      <c r="AE170" t="s">
        <v>102</v>
      </c>
      <c r="AF170" t="s">
        <v>67</v>
      </c>
      <c r="AH170" t="b">
        <v>0</v>
      </c>
      <c r="AI170" t="b">
        <v>0</v>
      </c>
      <c r="AJ170" t="b">
        <v>0</v>
      </c>
      <c r="AK170" t="b">
        <v>0</v>
      </c>
      <c r="AL170" s="6">
        <v>692</v>
      </c>
      <c r="AM170" s="3">
        <v>46297.25</v>
      </c>
      <c r="AN170">
        <v>1</v>
      </c>
      <c r="AO170" s="3">
        <v>46139.732986111107</v>
      </c>
      <c r="AP170" t="s">
        <v>995</v>
      </c>
      <c r="AQ170" t="s">
        <v>996</v>
      </c>
      <c r="AR170" t="s">
        <v>203</v>
      </c>
      <c r="AS170">
        <v>1</v>
      </c>
      <c r="AT170" t="b">
        <v>1</v>
      </c>
      <c r="AU170" t="s">
        <v>285</v>
      </c>
      <c r="AV170" t="b">
        <v>1</v>
      </c>
      <c r="AW170" t="b">
        <v>0</v>
      </c>
      <c r="AX170" s="5">
        <v>0</v>
      </c>
      <c r="AY170" s="3"/>
      <c r="AZ170" t="s">
        <v>67</v>
      </c>
      <c r="BA170" t="s">
        <v>67</v>
      </c>
      <c r="BB170" t="s">
        <v>997</v>
      </c>
    </row>
    <row r="171" spans="1:54" x14ac:dyDescent="0.3">
      <c r="A171">
        <v>1</v>
      </c>
      <c r="B171">
        <v>15</v>
      </c>
      <c r="C171" t="s">
        <v>54</v>
      </c>
      <c r="D171" s="3">
        <v>46053.40625</v>
      </c>
      <c r="E171" s="8">
        <v>46080</v>
      </c>
      <c r="F171" t="s">
        <v>988</v>
      </c>
      <c r="G171" t="s">
        <v>307</v>
      </c>
      <c r="H171" t="s">
        <v>989</v>
      </c>
      <c r="I171" t="s">
        <v>990</v>
      </c>
      <c r="J171" t="s">
        <v>749</v>
      </c>
      <c r="K171" t="s">
        <v>991</v>
      </c>
      <c r="L171" t="s">
        <v>751</v>
      </c>
      <c r="M171" t="s">
        <v>97</v>
      </c>
      <c r="N171" t="s">
        <v>97</v>
      </c>
      <c r="O171" t="s">
        <v>998</v>
      </c>
      <c r="P171" t="s">
        <v>999</v>
      </c>
      <c r="Q171" s="5">
        <v>1</v>
      </c>
      <c r="R171" s="6">
        <v>1021</v>
      </c>
      <c r="S171" s="6">
        <v>1021</v>
      </c>
      <c r="T171" s="6">
        <v>638</v>
      </c>
      <c r="U171" s="3">
        <v>46297.25</v>
      </c>
      <c r="W171" t="s">
        <v>994</v>
      </c>
      <c r="X171" t="s">
        <v>70</v>
      </c>
      <c r="Y171" t="s">
        <v>23</v>
      </c>
      <c r="Z171" t="s">
        <v>69</v>
      </c>
      <c r="AA171" t="s">
        <v>69</v>
      </c>
      <c r="AB171" t="s">
        <v>67</v>
      </c>
      <c r="AC171" t="s">
        <v>70</v>
      </c>
      <c r="AD171" t="s">
        <v>101</v>
      </c>
      <c r="AE171" t="s">
        <v>102</v>
      </c>
      <c r="AF171" t="s">
        <v>67</v>
      </c>
      <c r="AH171" t="b">
        <v>0</v>
      </c>
      <c r="AI171" t="b">
        <v>0</v>
      </c>
      <c r="AJ171" t="b">
        <v>0</v>
      </c>
      <c r="AK171" t="b">
        <v>0</v>
      </c>
      <c r="AL171" s="6">
        <v>638</v>
      </c>
      <c r="AM171" s="3">
        <v>46297.25</v>
      </c>
      <c r="AN171">
        <v>1</v>
      </c>
      <c r="AO171" s="3">
        <v>46139.732986111107</v>
      </c>
      <c r="AP171" t="s">
        <v>995</v>
      </c>
      <c r="AQ171" t="s">
        <v>996</v>
      </c>
      <c r="AR171" t="s">
        <v>203</v>
      </c>
      <c r="AS171">
        <v>1</v>
      </c>
      <c r="AT171" t="b">
        <v>1</v>
      </c>
      <c r="AU171" t="s">
        <v>285</v>
      </c>
      <c r="AV171" t="b">
        <v>1</v>
      </c>
      <c r="AW171" t="b">
        <v>0</v>
      </c>
      <c r="AX171" s="5">
        <v>0</v>
      </c>
      <c r="AY171" s="3"/>
      <c r="AZ171" t="s">
        <v>67</v>
      </c>
      <c r="BA171" t="s">
        <v>67</v>
      </c>
      <c r="BB171" t="s">
        <v>997</v>
      </c>
    </row>
    <row r="172" spans="1:54" x14ac:dyDescent="0.3">
      <c r="A172">
        <v>1</v>
      </c>
      <c r="B172">
        <v>15</v>
      </c>
      <c r="C172" t="s">
        <v>54</v>
      </c>
      <c r="D172" s="3">
        <v>46053.40625</v>
      </c>
      <c r="E172" s="8">
        <v>46080</v>
      </c>
      <c r="F172" t="s">
        <v>988</v>
      </c>
      <c r="G172" t="s">
        <v>307</v>
      </c>
      <c r="H172" t="s">
        <v>989</v>
      </c>
      <c r="I172" t="s">
        <v>990</v>
      </c>
      <c r="J172" t="s">
        <v>749</v>
      </c>
      <c r="K172" t="s">
        <v>991</v>
      </c>
      <c r="L172" t="s">
        <v>751</v>
      </c>
      <c r="M172" t="s">
        <v>97</v>
      </c>
      <c r="N172" t="s">
        <v>97</v>
      </c>
      <c r="O172" t="s">
        <v>752</v>
      </c>
      <c r="P172" t="s">
        <v>753</v>
      </c>
      <c r="Q172" s="5">
        <v>5</v>
      </c>
      <c r="R172" s="6">
        <v>80</v>
      </c>
      <c r="S172" s="6">
        <v>400</v>
      </c>
      <c r="T172" s="6">
        <v>0</v>
      </c>
      <c r="U172" s="3">
        <v>46297.25</v>
      </c>
      <c r="W172" t="s">
        <v>994</v>
      </c>
      <c r="X172" t="s">
        <v>70</v>
      </c>
      <c r="Y172" t="s">
        <v>23</v>
      </c>
      <c r="Z172" t="s">
        <v>69</v>
      </c>
      <c r="AA172" t="s">
        <v>69</v>
      </c>
      <c r="AB172" t="s">
        <v>67</v>
      </c>
      <c r="AC172" t="s">
        <v>70</v>
      </c>
      <c r="AD172" t="s">
        <v>101</v>
      </c>
      <c r="AE172" t="s">
        <v>102</v>
      </c>
      <c r="AF172" t="s">
        <v>67</v>
      </c>
      <c r="AG172" t="s">
        <v>752</v>
      </c>
      <c r="AH172" t="b">
        <v>0</v>
      </c>
      <c r="AI172" t="b">
        <v>0</v>
      </c>
      <c r="AJ172" t="b">
        <v>0</v>
      </c>
      <c r="AK172" t="b">
        <v>0</v>
      </c>
      <c r="AL172" s="6">
        <v>0</v>
      </c>
      <c r="AM172" s="3">
        <v>46297.25</v>
      </c>
      <c r="AN172">
        <v>1</v>
      </c>
      <c r="AO172" s="3">
        <v>46139.732986111107</v>
      </c>
      <c r="AP172" t="s">
        <v>995</v>
      </c>
      <c r="AQ172" t="s">
        <v>996</v>
      </c>
      <c r="AR172" t="s">
        <v>203</v>
      </c>
      <c r="AS172">
        <v>1</v>
      </c>
      <c r="AT172" t="b">
        <v>1</v>
      </c>
      <c r="AU172" t="s">
        <v>285</v>
      </c>
      <c r="AV172" t="b">
        <v>1</v>
      </c>
      <c r="AW172" t="b">
        <v>0</v>
      </c>
      <c r="AX172" s="5">
        <v>0</v>
      </c>
      <c r="AY172" s="3"/>
      <c r="AZ172" t="s">
        <v>67</v>
      </c>
      <c r="BA172" t="s">
        <v>67</v>
      </c>
      <c r="BB172" t="s">
        <v>997</v>
      </c>
    </row>
    <row r="173" spans="1:54" x14ac:dyDescent="0.3">
      <c r="A173">
        <v>1</v>
      </c>
      <c r="B173">
        <v>15</v>
      </c>
      <c r="C173" t="s">
        <v>54</v>
      </c>
      <c r="D173" s="3">
        <v>46063.501898148148</v>
      </c>
      <c r="E173" s="8">
        <v>46063</v>
      </c>
      <c r="F173" t="s">
        <v>1000</v>
      </c>
      <c r="G173" t="s">
        <v>307</v>
      </c>
      <c r="H173" t="s">
        <v>1001</v>
      </c>
      <c r="I173" t="s">
        <v>1002</v>
      </c>
      <c r="J173" t="s">
        <v>59</v>
      </c>
      <c r="L173" t="s">
        <v>699</v>
      </c>
      <c r="M173" t="s">
        <v>62</v>
      </c>
      <c r="O173" t="s">
        <v>228</v>
      </c>
      <c r="P173" t="s">
        <v>229</v>
      </c>
      <c r="Q173" s="5">
        <v>1</v>
      </c>
      <c r="R173" s="6">
        <v>135</v>
      </c>
      <c r="S173" s="6">
        <v>135</v>
      </c>
      <c r="T173" s="6">
        <v>90</v>
      </c>
      <c r="U173" s="3">
        <v>46288.291666666657</v>
      </c>
      <c r="W173" t="s">
        <v>1003</v>
      </c>
      <c r="X173" t="s">
        <v>67</v>
      </c>
      <c r="Y173" t="s">
        <v>68</v>
      </c>
      <c r="Z173" t="s">
        <v>1004</v>
      </c>
      <c r="AA173" t="s">
        <v>522</v>
      </c>
      <c r="AB173" t="s">
        <v>67</v>
      </c>
      <c r="AC173" t="s">
        <v>70</v>
      </c>
      <c r="AD173" t="s">
        <v>71</v>
      </c>
      <c r="AE173" t="s">
        <v>84</v>
      </c>
      <c r="AF173" t="s">
        <v>67</v>
      </c>
      <c r="AG173" t="s">
        <v>228</v>
      </c>
      <c r="AH173" t="b">
        <v>0</v>
      </c>
      <c r="AI173" t="b">
        <v>0</v>
      </c>
      <c r="AJ173" t="b">
        <v>0</v>
      </c>
      <c r="AK173" t="b">
        <v>0</v>
      </c>
      <c r="AL173" s="6">
        <v>90</v>
      </c>
      <c r="AM173" s="3">
        <v>46280.25</v>
      </c>
      <c r="AN173">
        <v>0</v>
      </c>
      <c r="AO173" s="3"/>
      <c r="AT173" t="b">
        <v>0</v>
      </c>
      <c r="AU173" t="s">
        <v>74</v>
      </c>
      <c r="AV173" t="b">
        <v>1</v>
      </c>
      <c r="AW173" t="b">
        <v>0</v>
      </c>
      <c r="AX173" s="5">
        <v>0</v>
      </c>
      <c r="AY173" s="3"/>
      <c r="AZ173" t="s">
        <v>67</v>
      </c>
      <c r="BA173" t="s">
        <v>67</v>
      </c>
      <c r="BB173" t="s">
        <v>317</v>
      </c>
    </row>
    <row r="174" spans="1:54" x14ac:dyDescent="0.3">
      <c r="A174">
        <v>1</v>
      </c>
      <c r="B174">
        <v>15</v>
      </c>
      <c r="C174" t="s">
        <v>54</v>
      </c>
      <c r="D174" s="3">
        <v>46063.501898148148</v>
      </c>
      <c r="E174" s="8">
        <v>46063</v>
      </c>
      <c r="F174" t="s">
        <v>1000</v>
      </c>
      <c r="G174" t="s">
        <v>307</v>
      </c>
      <c r="H174" t="s">
        <v>1001</v>
      </c>
      <c r="I174" t="s">
        <v>1002</v>
      </c>
      <c r="J174" t="s">
        <v>59</v>
      </c>
      <c r="L174" t="s">
        <v>699</v>
      </c>
      <c r="M174" t="s">
        <v>62</v>
      </c>
      <c r="O174" t="s">
        <v>228</v>
      </c>
      <c r="P174" t="s">
        <v>229</v>
      </c>
      <c r="Q174" s="5">
        <v>1</v>
      </c>
      <c r="R174" s="6">
        <v>135</v>
      </c>
      <c r="S174" s="6">
        <v>135</v>
      </c>
      <c r="T174" s="6">
        <v>90</v>
      </c>
      <c r="U174" s="3">
        <v>46288.291666666657</v>
      </c>
      <c r="W174" t="s">
        <v>1003</v>
      </c>
      <c r="X174" t="s">
        <v>67</v>
      </c>
      <c r="Y174" t="s">
        <v>68</v>
      </c>
      <c r="Z174" t="s">
        <v>1004</v>
      </c>
      <c r="AA174" t="s">
        <v>522</v>
      </c>
      <c r="AB174" t="s">
        <v>67</v>
      </c>
      <c r="AC174" t="s">
        <v>70</v>
      </c>
      <c r="AD174" t="s">
        <v>71</v>
      </c>
      <c r="AE174" t="s">
        <v>84</v>
      </c>
      <c r="AF174" t="s">
        <v>67</v>
      </c>
      <c r="AG174" t="s">
        <v>228</v>
      </c>
      <c r="AH174" t="b">
        <v>0</v>
      </c>
      <c r="AI174" t="b">
        <v>0</v>
      </c>
      <c r="AJ174" t="b">
        <v>0</v>
      </c>
      <c r="AK174" t="b">
        <v>0</v>
      </c>
      <c r="AL174" s="6">
        <v>90</v>
      </c>
      <c r="AM174" s="3">
        <v>46280.25</v>
      </c>
      <c r="AN174">
        <v>1</v>
      </c>
      <c r="AO174" s="3"/>
      <c r="AT174" t="b">
        <v>0</v>
      </c>
      <c r="AU174" t="s">
        <v>74</v>
      </c>
      <c r="AV174" t="b">
        <v>1</v>
      </c>
      <c r="AW174" t="b">
        <v>0</v>
      </c>
      <c r="AX174" s="5">
        <v>0</v>
      </c>
      <c r="AY174" s="3"/>
      <c r="AZ174" t="s">
        <v>67</v>
      </c>
      <c r="BA174" t="s">
        <v>67</v>
      </c>
      <c r="BB174" t="s">
        <v>317</v>
      </c>
    </row>
    <row r="175" spans="1:54" x14ac:dyDescent="0.3">
      <c r="A175">
        <v>1</v>
      </c>
      <c r="B175">
        <v>15</v>
      </c>
      <c r="C175" t="s">
        <v>54</v>
      </c>
      <c r="D175" s="3">
        <v>46063.501898148148</v>
      </c>
      <c r="E175" s="8">
        <v>46063</v>
      </c>
      <c r="F175" t="s">
        <v>1000</v>
      </c>
      <c r="G175" t="s">
        <v>307</v>
      </c>
      <c r="H175" t="s">
        <v>1001</v>
      </c>
      <c r="I175" t="s">
        <v>1002</v>
      </c>
      <c r="J175" t="s">
        <v>59</v>
      </c>
      <c r="L175" t="s">
        <v>699</v>
      </c>
      <c r="M175" t="s">
        <v>62</v>
      </c>
      <c r="O175" t="s">
        <v>1005</v>
      </c>
      <c r="P175" t="s">
        <v>1006</v>
      </c>
      <c r="Q175" s="5">
        <v>1</v>
      </c>
      <c r="R175" s="6">
        <v>702</v>
      </c>
      <c r="S175" s="6">
        <v>702</v>
      </c>
      <c r="T175" s="6">
        <v>467.35</v>
      </c>
      <c r="U175" s="3">
        <v>46288.291666666657</v>
      </c>
      <c r="W175" t="s">
        <v>1003</v>
      </c>
      <c r="X175" t="s">
        <v>67</v>
      </c>
      <c r="Y175" t="s">
        <v>68</v>
      </c>
      <c r="Z175" t="s">
        <v>1004</v>
      </c>
      <c r="AA175" t="s">
        <v>522</v>
      </c>
      <c r="AB175" t="s">
        <v>67</v>
      </c>
      <c r="AC175" t="s">
        <v>70</v>
      </c>
      <c r="AD175" t="s">
        <v>71</v>
      </c>
      <c r="AE175" t="s">
        <v>1007</v>
      </c>
      <c r="AF175" t="s">
        <v>67</v>
      </c>
      <c r="AG175" t="s">
        <v>1008</v>
      </c>
      <c r="AH175" t="b">
        <v>0</v>
      </c>
      <c r="AI175" t="b">
        <v>0</v>
      </c>
      <c r="AJ175" t="b">
        <v>0</v>
      </c>
      <c r="AK175" t="b">
        <v>0</v>
      </c>
      <c r="AL175" s="6">
        <v>467.35</v>
      </c>
      <c r="AM175" s="3">
        <v>46280.25</v>
      </c>
      <c r="AN175">
        <v>0</v>
      </c>
      <c r="AO175" s="3"/>
      <c r="AT175" t="b">
        <v>0</v>
      </c>
      <c r="AU175" t="s">
        <v>74</v>
      </c>
      <c r="AV175" t="b">
        <v>1</v>
      </c>
      <c r="AW175" t="b">
        <v>0</v>
      </c>
      <c r="AX175" s="5">
        <v>0</v>
      </c>
      <c r="AY175" s="3"/>
      <c r="AZ175" t="s">
        <v>67</v>
      </c>
      <c r="BA175" t="s">
        <v>67</v>
      </c>
      <c r="BB175" t="s">
        <v>317</v>
      </c>
    </row>
    <row r="176" spans="1:54" x14ac:dyDescent="0.3">
      <c r="A176">
        <v>1</v>
      </c>
      <c r="B176">
        <v>15</v>
      </c>
      <c r="C176" t="s">
        <v>54</v>
      </c>
      <c r="D176" s="3">
        <v>46063.501898148148</v>
      </c>
      <c r="E176" s="8">
        <v>46063</v>
      </c>
      <c r="F176" t="s">
        <v>1000</v>
      </c>
      <c r="G176" t="s">
        <v>307</v>
      </c>
      <c r="H176" t="s">
        <v>1001</v>
      </c>
      <c r="I176" t="s">
        <v>1002</v>
      </c>
      <c r="J176" t="s">
        <v>59</v>
      </c>
      <c r="L176" t="s">
        <v>699</v>
      </c>
      <c r="M176" t="s">
        <v>62</v>
      </c>
      <c r="O176" t="s">
        <v>1005</v>
      </c>
      <c r="P176" t="s">
        <v>1006</v>
      </c>
      <c r="Q176" s="5">
        <v>1</v>
      </c>
      <c r="R176" s="6">
        <v>702</v>
      </c>
      <c r="S176" s="6">
        <v>702</v>
      </c>
      <c r="T176" s="6">
        <v>467.35</v>
      </c>
      <c r="U176" s="3">
        <v>46288.291666666657</v>
      </c>
      <c r="W176" t="s">
        <v>1003</v>
      </c>
      <c r="X176" t="s">
        <v>67</v>
      </c>
      <c r="Y176" t="s">
        <v>68</v>
      </c>
      <c r="Z176" t="s">
        <v>1004</v>
      </c>
      <c r="AA176" t="s">
        <v>522</v>
      </c>
      <c r="AB176" t="s">
        <v>67</v>
      </c>
      <c r="AC176" t="s">
        <v>70</v>
      </c>
      <c r="AD176" t="s">
        <v>71</v>
      </c>
      <c r="AE176" t="s">
        <v>1007</v>
      </c>
      <c r="AF176" t="s">
        <v>67</v>
      </c>
      <c r="AG176" t="s">
        <v>1008</v>
      </c>
      <c r="AH176" t="b">
        <v>0</v>
      </c>
      <c r="AI176" t="b">
        <v>0</v>
      </c>
      <c r="AJ176" t="b">
        <v>0</v>
      </c>
      <c r="AK176" t="b">
        <v>0</v>
      </c>
      <c r="AL176" s="6">
        <v>467.35</v>
      </c>
      <c r="AM176" s="3">
        <v>46280.25</v>
      </c>
      <c r="AN176">
        <v>1</v>
      </c>
      <c r="AO176" s="3"/>
      <c r="AT176" t="b">
        <v>0</v>
      </c>
      <c r="AU176" t="s">
        <v>74</v>
      </c>
      <c r="AV176" t="b">
        <v>1</v>
      </c>
      <c r="AW176" t="b">
        <v>0</v>
      </c>
      <c r="AX176" s="5">
        <v>0</v>
      </c>
      <c r="AY176" s="3"/>
      <c r="AZ176" t="s">
        <v>67</v>
      </c>
      <c r="BA176" t="s">
        <v>67</v>
      </c>
      <c r="BB176" t="s">
        <v>317</v>
      </c>
    </row>
    <row r="177" spans="1:54" x14ac:dyDescent="0.3">
      <c r="A177">
        <v>1</v>
      </c>
      <c r="B177">
        <v>15</v>
      </c>
      <c r="C177" t="s">
        <v>54</v>
      </c>
      <c r="D177" s="3">
        <v>46063.501898148148</v>
      </c>
      <c r="E177" s="8">
        <v>46063</v>
      </c>
      <c r="F177" t="s">
        <v>1000</v>
      </c>
      <c r="G177" t="s">
        <v>307</v>
      </c>
      <c r="H177" t="s">
        <v>1001</v>
      </c>
      <c r="I177" t="s">
        <v>1002</v>
      </c>
      <c r="J177" t="s">
        <v>59</v>
      </c>
      <c r="L177" t="s">
        <v>699</v>
      </c>
      <c r="M177" t="s">
        <v>62</v>
      </c>
      <c r="O177" t="s">
        <v>1009</v>
      </c>
      <c r="P177" t="s">
        <v>1010</v>
      </c>
      <c r="Q177" s="5">
        <v>1</v>
      </c>
      <c r="R177" s="6">
        <v>694</v>
      </c>
      <c r="S177" s="6">
        <v>694</v>
      </c>
      <c r="T177" s="6">
        <v>462.15</v>
      </c>
      <c r="U177" s="3">
        <v>46288.291666666657</v>
      </c>
      <c r="W177" t="s">
        <v>1003</v>
      </c>
      <c r="X177" t="s">
        <v>67</v>
      </c>
      <c r="Y177" t="s">
        <v>68</v>
      </c>
      <c r="Z177" t="s">
        <v>1004</v>
      </c>
      <c r="AA177" t="s">
        <v>522</v>
      </c>
      <c r="AB177" t="s">
        <v>67</v>
      </c>
      <c r="AC177" t="s">
        <v>70</v>
      </c>
      <c r="AD177" t="s">
        <v>71</v>
      </c>
      <c r="AE177" t="s">
        <v>1007</v>
      </c>
      <c r="AF177" t="s">
        <v>67</v>
      </c>
      <c r="AG177" t="s">
        <v>1011</v>
      </c>
      <c r="AH177" t="b">
        <v>0</v>
      </c>
      <c r="AI177" t="b">
        <v>0</v>
      </c>
      <c r="AJ177" t="b">
        <v>0</v>
      </c>
      <c r="AK177" t="b">
        <v>0</v>
      </c>
      <c r="AL177" s="6">
        <v>462.15</v>
      </c>
      <c r="AM177" s="3">
        <v>46280.25</v>
      </c>
      <c r="AN177">
        <v>0</v>
      </c>
      <c r="AO177" s="3"/>
      <c r="AT177" t="b">
        <v>0</v>
      </c>
      <c r="AU177" t="s">
        <v>74</v>
      </c>
      <c r="AV177" t="b">
        <v>1</v>
      </c>
      <c r="AW177" t="b">
        <v>0</v>
      </c>
      <c r="AX177" s="5">
        <v>0</v>
      </c>
      <c r="AY177" s="3"/>
      <c r="AZ177" t="s">
        <v>67</v>
      </c>
      <c r="BA177" t="s">
        <v>67</v>
      </c>
      <c r="BB177" t="s">
        <v>317</v>
      </c>
    </row>
    <row r="178" spans="1:54" x14ac:dyDescent="0.3">
      <c r="A178">
        <v>1</v>
      </c>
      <c r="B178">
        <v>15</v>
      </c>
      <c r="C178" t="s">
        <v>54</v>
      </c>
      <c r="D178" s="3">
        <v>46063.501898148148</v>
      </c>
      <c r="E178" s="8">
        <v>46063</v>
      </c>
      <c r="F178" t="s">
        <v>1000</v>
      </c>
      <c r="G178" t="s">
        <v>307</v>
      </c>
      <c r="H178" t="s">
        <v>1001</v>
      </c>
      <c r="I178" t="s">
        <v>1002</v>
      </c>
      <c r="J178" t="s">
        <v>59</v>
      </c>
      <c r="L178" t="s">
        <v>699</v>
      </c>
      <c r="M178" t="s">
        <v>62</v>
      </c>
      <c r="O178" t="s">
        <v>1009</v>
      </c>
      <c r="P178" t="s">
        <v>1010</v>
      </c>
      <c r="Q178" s="5">
        <v>1</v>
      </c>
      <c r="R178" s="6">
        <v>694</v>
      </c>
      <c r="S178" s="6">
        <v>694</v>
      </c>
      <c r="T178" s="6">
        <v>462.15</v>
      </c>
      <c r="U178" s="3">
        <v>46288.291666666657</v>
      </c>
      <c r="W178" t="s">
        <v>1003</v>
      </c>
      <c r="X178" t="s">
        <v>67</v>
      </c>
      <c r="Y178" t="s">
        <v>68</v>
      </c>
      <c r="Z178" t="s">
        <v>1004</v>
      </c>
      <c r="AA178" t="s">
        <v>522</v>
      </c>
      <c r="AB178" t="s">
        <v>67</v>
      </c>
      <c r="AC178" t="s">
        <v>70</v>
      </c>
      <c r="AD178" t="s">
        <v>71</v>
      </c>
      <c r="AE178" t="s">
        <v>1007</v>
      </c>
      <c r="AF178" t="s">
        <v>67</v>
      </c>
      <c r="AG178" t="s">
        <v>1011</v>
      </c>
      <c r="AH178" t="b">
        <v>0</v>
      </c>
      <c r="AI178" t="b">
        <v>0</v>
      </c>
      <c r="AJ178" t="b">
        <v>0</v>
      </c>
      <c r="AK178" t="b">
        <v>0</v>
      </c>
      <c r="AL178" s="6">
        <v>462.15</v>
      </c>
      <c r="AM178" s="3">
        <v>46280.25</v>
      </c>
      <c r="AN178">
        <v>1</v>
      </c>
      <c r="AO178" s="3"/>
      <c r="AT178" t="b">
        <v>0</v>
      </c>
      <c r="AU178" t="s">
        <v>74</v>
      </c>
      <c r="AV178" t="b">
        <v>1</v>
      </c>
      <c r="AW178" t="b">
        <v>0</v>
      </c>
      <c r="AX178" s="5">
        <v>0</v>
      </c>
      <c r="AY178" s="3"/>
      <c r="AZ178" t="s">
        <v>67</v>
      </c>
      <c r="BA178" t="s">
        <v>67</v>
      </c>
      <c r="BB178" t="s">
        <v>317</v>
      </c>
    </row>
    <row r="179" spans="1:54" x14ac:dyDescent="0.3">
      <c r="A179">
        <v>1</v>
      </c>
      <c r="B179">
        <v>15</v>
      </c>
      <c r="C179" t="s">
        <v>54</v>
      </c>
      <c r="D179" s="3">
        <v>46063.626793981479</v>
      </c>
      <c r="E179" s="8">
        <v>46150</v>
      </c>
      <c r="F179" t="s">
        <v>1012</v>
      </c>
      <c r="G179" t="s">
        <v>307</v>
      </c>
      <c r="H179" t="s">
        <v>1013</v>
      </c>
      <c r="I179" t="s">
        <v>1014</v>
      </c>
      <c r="J179" t="s">
        <v>59</v>
      </c>
      <c r="K179" t="s">
        <v>282</v>
      </c>
      <c r="L179" t="s">
        <v>699</v>
      </c>
      <c r="M179" t="s">
        <v>63</v>
      </c>
      <c r="O179" t="s">
        <v>82</v>
      </c>
      <c r="P179" t="s">
        <v>83</v>
      </c>
      <c r="Q179" s="5">
        <v>1</v>
      </c>
      <c r="R179" s="6">
        <v>140</v>
      </c>
      <c r="S179" s="6">
        <v>140</v>
      </c>
      <c r="T179" s="6">
        <v>93.1</v>
      </c>
      <c r="U179" s="3">
        <v>46245.270833333343</v>
      </c>
      <c r="W179" t="s">
        <v>1015</v>
      </c>
      <c r="X179" t="s">
        <v>67</v>
      </c>
      <c r="Y179" t="s">
        <v>68</v>
      </c>
      <c r="Z179" t="s">
        <v>69</v>
      </c>
      <c r="AA179" t="s">
        <v>69</v>
      </c>
      <c r="AB179" t="s">
        <v>70</v>
      </c>
      <c r="AC179" t="s">
        <v>70</v>
      </c>
      <c r="AD179" t="s">
        <v>71</v>
      </c>
      <c r="AE179" t="s">
        <v>84</v>
      </c>
      <c r="AF179" t="s">
        <v>67</v>
      </c>
      <c r="AG179" t="s">
        <v>82</v>
      </c>
      <c r="AH179" t="b">
        <v>0</v>
      </c>
      <c r="AI179" t="b">
        <v>0</v>
      </c>
      <c r="AJ179" t="b">
        <v>0</v>
      </c>
      <c r="AK179" t="b">
        <v>0</v>
      </c>
      <c r="AL179" s="6">
        <v>93.1</v>
      </c>
      <c r="AM179" s="3">
        <v>46245.270833333343</v>
      </c>
      <c r="AN179">
        <v>1</v>
      </c>
      <c r="AO179" s="3"/>
      <c r="AT179" t="b">
        <v>0</v>
      </c>
      <c r="AU179" t="s">
        <v>74</v>
      </c>
      <c r="AV179" t="b">
        <v>1</v>
      </c>
      <c r="AW179" t="b">
        <v>0</v>
      </c>
      <c r="AX179" s="5">
        <v>0</v>
      </c>
      <c r="AY179" s="3"/>
      <c r="AZ179" t="s">
        <v>67</v>
      </c>
      <c r="BA179" t="s">
        <v>67</v>
      </c>
      <c r="BB179" t="s">
        <v>317</v>
      </c>
    </row>
    <row r="180" spans="1:54" x14ac:dyDescent="0.3">
      <c r="A180">
        <v>1</v>
      </c>
      <c r="B180">
        <v>15</v>
      </c>
      <c r="C180" t="s">
        <v>54</v>
      </c>
      <c r="D180" s="3">
        <v>46063.626793981479</v>
      </c>
      <c r="E180" s="8">
        <v>46150</v>
      </c>
      <c r="F180" t="s">
        <v>1012</v>
      </c>
      <c r="G180" t="s">
        <v>307</v>
      </c>
      <c r="H180" t="s">
        <v>1013</v>
      </c>
      <c r="I180" t="s">
        <v>1014</v>
      </c>
      <c r="J180" t="s">
        <v>59</v>
      </c>
      <c r="K180" t="s">
        <v>282</v>
      </c>
      <c r="L180" t="s">
        <v>699</v>
      </c>
      <c r="M180" t="s">
        <v>63</v>
      </c>
      <c r="O180" t="s">
        <v>1016</v>
      </c>
      <c r="P180" t="s">
        <v>1017</v>
      </c>
      <c r="Q180" s="5">
        <v>1</v>
      </c>
      <c r="R180" s="6">
        <v>30</v>
      </c>
      <c r="S180" s="6">
        <v>30</v>
      </c>
      <c r="T180" s="6">
        <v>10.8</v>
      </c>
      <c r="U180" s="3">
        <v>46245.270833333343</v>
      </c>
      <c r="W180" t="s">
        <v>1015</v>
      </c>
      <c r="X180" t="s">
        <v>67</v>
      </c>
      <c r="Y180" t="s">
        <v>68</v>
      </c>
      <c r="Z180" t="s">
        <v>69</v>
      </c>
      <c r="AA180" t="s">
        <v>69</v>
      </c>
      <c r="AB180" t="s">
        <v>70</v>
      </c>
      <c r="AC180" t="s">
        <v>70</v>
      </c>
      <c r="AD180" t="s">
        <v>71</v>
      </c>
      <c r="AE180" t="s">
        <v>77</v>
      </c>
      <c r="AF180" t="s">
        <v>67</v>
      </c>
      <c r="AG180" t="s">
        <v>1018</v>
      </c>
      <c r="AH180" t="b">
        <v>0</v>
      </c>
      <c r="AI180" t="b">
        <v>0</v>
      </c>
      <c r="AJ180" t="b">
        <v>0</v>
      </c>
      <c r="AK180" t="b">
        <v>0</v>
      </c>
      <c r="AL180" s="6">
        <v>10.8</v>
      </c>
      <c r="AM180" s="3">
        <v>46245.270833333343</v>
      </c>
      <c r="AN180">
        <v>1</v>
      </c>
      <c r="AO180" s="3"/>
      <c r="AT180" t="b">
        <v>0</v>
      </c>
      <c r="AU180" t="s">
        <v>74</v>
      </c>
      <c r="AV180" t="b">
        <v>1</v>
      </c>
      <c r="AW180" t="b">
        <v>0</v>
      </c>
      <c r="AX180" s="5">
        <v>0</v>
      </c>
      <c r="AY180" s="3"/>
      <c r="AZ180" t="s">
        <v>67</v>
      </c>
      <c r="BA180" t="s">
        <v>67</v>
      </c>
      <c r="BB180" t="s">
        <v>317</v>
      </c>
    </row>
    <row r="181" spans="1:54" x14ac:dyDescent="0.3">
      <c r="A181">
        <v>1</v>
      </c>
      <c r="B181">
        <v>15</v>
      </c>
      <c r="C181" t="s">
        <v>54</v>
      </c>
      <c r="D181" s="3">
        <v>46063.626793981479</v>
      </c>
      <c r="E181" s="8">
        <v>46150</v>
      </c>
      <c r="F181" t="s">
        <v>1012</v>
      </c>
      <c r="G181" t="s">
        <v>307</v>
      </c>
      <c r="H181" t="s">
        <v>1013</v>
      </c>
      <c r="I181" t="s">
        <v>1014</v>
      </c>
      <c r="J181" t="s">
        <v>59</v>
      </c>
      <c r="K181" t="s">
        <v>282</v>
      </c>
      <c r="L181" t="s">
        <v>699</v>
      </c>
      <c r="M181" t="s">
        <v>63</v>
      </c>
      <c r="O181" t="s">
        <v>1019</v>
      </c>
      <c r="P181" t="s">
        <v>1020</v>
      </c>
      <c r="Q181" s="5">
        <v>3</v>
      </c>
      <c r="R181" s="6">
        <v>570</v>
      </c>
      <c r="S181" s="6">
        <v>1710</v>
      </c>
      <c r="T181" s="6">
        <v>562.95000000000005</v>
      </c>
      <c r="U181" s="3">
        <v>46245.270833333343</v>
      </c>
      <c r="W181" t="s">
        <v>1015</v>
      </c>
      <c r="X181" t="s">
        <v>67</v>
      </c>
      <c r="Y181" t="s">
        <v>68</v>
      </c>
      <c r="Z181" t="s">
        <v>69</v>
      </c>
      <c r="AA181" t="s">
        <v>69</v>
      </c>
      <c r="AB181" t="s">
        <v>70</v>
      </c>
      <c r="AC181" t="s">
        <v>70</v>
      </c>
      <c r="AD181" t="s">
        <v>71</v>
      </c>
      <c r="AE181" t="s">
        <v>77</v>
      </c>
      <c r="AF181" t="s">
        <v>67</v>
      </c>
      <c r="AG181" t="s">
        <v>1021</v>
      </c>
      <c r="AH181" t="b">
        <v>0</v>
      </c>
      <c r="AI181" t="b">
        <v>0</v>
      </c>
      <c r="AJ181" t="b">
        <v>0</v>
      </c>
      <c r="AK181" t="b">
        <v>0</v>
      </c>
      <c r="AL181" s="6">
        <v>187.65</v>
      </c>
      <c r="AM181" s="3">
        <v>46245.270833333343</v>
      </c>
      <c r="AN181">
        <v>1</v>
      </c>
      <c r="AO181" s="3"/>
      <c r="AT181" t="b">
        <v>0</v>
      </c>
      <c r="AU181" t="s">
        <v>74</v>
      </c>
      <c r="AV181" t="b">
        <v>1</v>
      </c>
      <c r="AW181" t="b">
        <v>0</v>
      </c>
      <c r="AX181" s="5">
        <v>0</v>
      </c>
      <c r="AY181" s="3"/>
      <c r="AZ181" t="s">
        <v>67</v>
      </c>
      <c r="BA181" t="s">
        <v>67</v>
      </c>
      <c r="BB181" t="s">
        <v>317</v>
      </c>
    </row>
    <row r="182" spans="1:54" x14ac:dyDescent="0.3">
      <c r="A182">
        <v>1</v>
      </c>
      <c r="B182">
        <v>15</v>
      </c>
      <c r="C182" t="s">
        <v>54</v>
      </c>
      <c r="D182" s="3">
        <v>46063.626793981479</v>
      </c>
      <c r="E182" s="8">
        <v>46150</v>
      </c>
      <c r="F182" t="s">
        <v>1012</v>
      </c>
      <c r="G182" t="s">
        <v>307</v>
      </c>
      <c r="H182" t="s">
        <v>1013</v>
      </c>
      <c r="I182" t="s">
        <v>1014</v>
      </c>
      <c r="J182" t="s">
        <v>59</v>
      </c>
      <c r="K182" t="s">
        <v>282</v>
      </c>
      <c r="L182" t="s">
        <v>699</v>
      </c>
      <c r="M182" t="s">
        <v>63</v>
      </c>
      <c r="O182" t="s">
        <v>1022</v>
      </c>
      <c r="P182" t="s">
        <v>1023</v>
      </c>
      <c r="Q182" s="5">
        <v>1</v>
      </c>
      <c r="R182" s="6">
        <v>179</v>
      </c>
      <c r="S182" s="6">
        <v>179</v>
      </c>
      <c r="T182" s="6">
        <v>119</v>
      </c>
      <c r="U182" s="3">
        <v>46245.270833333343</v>
      </c>
      <c r="W182" t="s">
        <v>1015</v>
      </c>
      <c r="X182" t="s">
        <v>67</v>
      </c>
      <c r="Y182" t="s">
        <v>68</v>
      </c>
      <c r="Z182" t="s">
        <v>69</v>
      </c>
      <c r="AA182" t="s">
        <v>69</v>
      </c>
      <c r="AB182" t="s">
        <v>70</v>
      </c>
      <c r="AC182" t="s">
        <v>70</v>
      </c>
      <c r="AD182" t="s">
        <v>71</v>
      </c>
      <c r="AE182" t="s">
        <v>72</v>
      </c>
      <c r="AF182" t="s">
        <v>67</v>
      </c>
      <c r="AG182" t="s">
        <v>1024</v>
      </c>
      <c r="AH182" t="b">
        <v>0</v>
      </c>
      <c r="AI182" t="b">
        <v>0</v>
      </c>
      <c r="AJ182" t="b">
        <v>0</v>
      </c>
      <c r="AK182" t="b">
        <v>0</v>
      </c>
      <c r="AL182" s="6">
        <v>119</v>
      </c>
      <c r="AM182" s="3">
        <v>46245.270833333343</v>
      </c>
      <c r="AN182">
        <v>1</v>
      </c>
      <c r="AO182" s="3"/>
      <c r="AT182" t="b">
        <v>0</v>
      </c>
      <c r="AU182" t="s">
        <v>74</v>
      </c>
      <c r="AV182" t="b">
        <v>1</v>
      </c>
      <c r="AW182" t="b">
        <v>0</v>
      </c>
      <c r="AX182" s="5">
        <v>0</v>
      </c>
      <c r="AY182" s="3"/>
      <c r="AZ182" t="s">
        <v>67</v>
      </c>
      <c r="BA182" t="s">
        <v>67</v>
      </c>
      <c r="BB182" t="s">
        <v>317</v>
      </c>
    </row>
    <row r="183" spans="1:54" x14ac:dyDescent="0.3">
      <c r="A183">
        <v>1</v>
      </c>
      <c r="B183">
        <v>15</v>
      </c>
      <c r="C183" t="s">
        <v>54</v>
      </c>
      <c r="D183" s="3">
        <v>46063.702245370368</v>
      </c>
      <c r="E183" s="8">
        <v>46063</v>
      </c>
      <c r="F183" t="s">
        <v>1025</v>
      </c>
      <c r="G183" t="s">
        <v>307</v>
      </c>
      <c r="H183" t="s">
        <v>1026</v>
      </c>
      <c r="I183" t="s">
        <v>1027</v>
      </c>
      <c r="J183" t="s">
        <v>59</v>
      </c>
      <c r="K183" t="s">
        <v>902</v>
      </c>
      <c r="L183" t="s">
        <v>699</v>
      </c>
      <c r="M183" t="s">
        <v>62</v>
      </c>
      <c r="O183" t="s">
        <v>752</v>
      </c>
      <c r="P183" t="s">
        <v>753</v>
      </c>
      <c r="Q183" s="5">
        <v>1</v>
      </c>
      <c r="R183" s="6">
        <v>80</v>
      </c>
      <c r="S183" s="6">
        <v>80</v>
      </c>
      <c r="T183" s="6">
        <v>0</v>
      </c>
      <c r="U183" s="3">
        <v>46280.208333333343</v>
      </c>
      <c r="W183" t="s">
        <v>1028</v>
      </c>
      <c r="X183" t="s">
        <v>70</v>
      </c>
      <c r="Y183" t="s">
        <v>23</v>
      </c>
      <c r="Z183" t="s">
        <v>69</v>
      </c>
      <c r="AA183" t="s">
        <v>69</v>
      </c>
      <c r="AB183" t="s">
        <v>67</v>
      </c>
      <c r="AC183" t="s">
        <v>70</v>
      </c>
      <c r="AD183" t="s">
        <v>71</v>
      </c>
      <c r="AE183" t="s">
        <v>102</v>
      </c>
      <c r="AF183" t="s">
        <v>67</v>
      </c>
      <c r="AG183" t="s">
        <v>752</v>
      </c>
      <c r="AH183" t="b">
        <v>0</v>
      </c>
      <c r="AI183" t="b">
        <v>1</v>
      </c>
      <c r="AJ183" t="b">
        <v>0</v>
      </c>
      <c r="AK183" t="b">
        <v>1</v>
      </c>
      <c r="AL183" s="6">
        <v>0</v>
      </c>
      <c r="AM183" s="3">
        <v>46280.208333333343</v>
      </c>
      <c r="AN183">
        <v>1</v>
      </c>
      <c r="AO183" s="3"/>
      <c r="AT183" t="b">
        <v>0</v>
      </c>
      <c r="AU183" t="s">
        <v>74</v>
      </c>
      <c r="AV183" t="b">
        <v>1</v>
      </c>
      <c r="AW183" t="b">
        <v>0</v>
      </c>
      <c r="AX183" s="5">
        <v>0</v>
      </c>
      <c r="AY183" s="3"/>
      <c r="AZ183" t="s">
        <v>67</v>
      </c>
      <c r="BA183" t="s">
        <v>67</v>
      </c>
      <c r="BB183" t="s">
        <v>317</v>
      </c>
    </row>
    <row r="184" spans="1:54" x14ac:dyDescent="0.3">
      <c r="A184">
        <v>1</v>
      </c>
      <c r="B184">
        <v>15</v>
      </c>
      <c r="C184" t="s">
        <v>54</v>
      </c>
      <c r="D184" s="3">
        <v>46078.51934027778</v>
      </c>
      <c r="E184" s="8">
        <v>46078</v>
      </c>
      <c r="F184" t="s">
        <v>1029</v>
      </c>
      <c r="G184" t="s">
        <v>307</v>
      </c>
      <c r="H184" t="s">
        <v>1030</v>
      </c>
      <c r="I184" t="s">
        <v>1031</v>
      </c>
      <c r="J184" t="s">
        <v>363</v>
      </c>
      <c r="K184" t="s">
        <v>1032</v>
      </c>
      <c r="L184" t="s">
        <v>741</v>
      </c>
      <c r="M184" t="s">
        <v>366</v>
      </c>
      <c r="O184" t="s">
        <v>1033</v>
      </c>
      <c r="P184" t="s">
        <v>1034</v>
      </c>
      <c r="Q184" s="5">
        <v>1</v>
      </c>
      <c r="R184" s="6">
        <v>25</v>
      </c>
      <c r="S184" s="6">
        <v>25</v>
      </c>
      <c r="T184" s="6">
        <v>9.8800000000000008</v>
      </c>
      <c r="U184" s="3">
        <v>46260.479166666657</v>
      </c>
      <c r="W184" t="s">
        <v>1035</v>
      </c>
      <c r="X184" t="s">
        <v>67</v>
      </c>
      <c r="Y184" t="s">
        <v>68</v>
      </c>
      <c r="Z184" t="s">
        <v>521</v>
      </c>
      <c r="AA184" t="s">
        <v>522</v>
      </c>
      <c r="AB184" t="s">
        <v>67</v>
      </c>
      <c r="AC184" t="s">
        <v>70</v>
      </c>
      <c r="AD184" t="s">
        <v>745</v>
      </c>
      <c r="AE184" t="s">
        <v>371</v>
      </c>
      <c r="AF184" t="s">
        <v>67</v>
      </c>
      <c r="AG184" t="s">
        <v>1033</v>
      </c>
      <c r="AH184" t="b">
        <v>0</v>
      </c>
      <c r="AI184" t="b">
        <v>0</v>
      </c>
      <c r="AJ184" t="b">
        <v>0</v>
      </c>
      <c r="AK184" t="b">
        <v>0</v>
      </c>
      <c r="AL184" s="6">
        <v>9.8800000000000008</v>
      </c>
      <c r="AM184" s="3">
        <v>46260.479166666657</v>
      </c>
      <c r="AN184">
        <v>1</v>
      </c>
      <c r="AO184" s="3"/>
      <c r="AT184" t="b">
        <v>0</v>
      </c>
      <c r="AU184" t="s">
        <v>74</v>
      </c>
      <c r="AV184" t="b">
        <v>1</v>
      </c>
      <c r="AW184" t="b">
        <v>0</v>
      </c>
      <c r="AX184" s="5">
        <v>0</v>
      </c>
      <c r="AY184" s="3"/>
      <c r="AZ184" t="s">
        <v>67</v>
      </c>
      <c r="BA184" t="s">
        <v>67</v>
      </c>
      <c r="BB184" t="s">
        <v>317</v>
      </c>
    </row>
    <row r="185" spans="1:54" x14ac:dyDescent="0.3">
      <c r="A185">
        <v>1</v>
      </c>
      <c r="B185">
        <v>15</v>
      </c>
      <c r="C185" t="s">
        <v>54</v>
      </c>
      <c r="D185" s="3">
        <v>46078.666504629633</v>
      </c>
      <c r="E185" s="8">
        <v>46078</v>
      </c>
      <c r="F185" t="s">
        <v>1036</v>
      </c>
      <c r="G185" t="s">
        <v>307</v>
      </c>
      <c r="H185" t="s">
        <v>1037</v>
      </c>
      <c r="I185" t="s">
        <v>1038</v>
      </c>
      <c r="J185" t="s">
        <v>363</v>
      </c>
      <c r="K185" t="s">
        <v>1039</v>
      </c>
      <c r="L185" t="s">
        <v>986</v>
      </c>
      <c r="M185" t="s">
        <v>366</v>
      </c>
      <c r="N185" t="s">
        <v>366</v>
      </c>
      <c r="O185" t="s">
        <v>742</v>
      </c>
      <c r="P185" t="s">
        <v>743</v>
      </c>
      <c r="Q185" s="5">
        <v>1</v>
      </c>
      <c r="R185" s="6">
        <v>519</v>
      </c>
      <c r="S185" s="6">
        <v>519</v>
      </c>
      <c r="T185" s="6">
        <v>324</v>
      </c>
      <c r="U185" s="3">
        <v>46304.25</v>
      </c>
      <c r="W185" t="s">
        <v>1040</v>
      </c>
      <c r="X185" t="s">
        <v>70</v>
      </c>
      <c r="Y185" t="s">
        <v>23</v>
      </c>
      <c r="Z185" t="s">
        <v>69</v>
      </c>
      <c r="AA185" t="s">
        <v>69</v>
      </c>
      <c r="AB185" t="s">
        <v>67</v>
      </c>
      <c r="AC185" t="s">
        <v>70</v>
      </c>
      <c r="AD185" t="s">
        <v>370</v>
      </c>
      <c r="AE185" t="s">
        <v>102</v>
      </c>
      <c r="AF185" t="s">
        <v>67</v>
      </c>
      <c r="AH185" t="b">
        <v>0</v>
      </c>
      <c r="AI185" t="b">
        <v>0</v>
      </c>
      <c r="AJ185" t="b">
        <v>0</v>
      </c>
      <c r="AK185" t="b">
        <v>0</v>
      </c>
      <c r="AL185" s="6">
        <v>324</v>
      </c>
      <c r="AM185" s="3">
        <v>46288.333333333343</v>
      </c>
      <c r="AN185">
        <v>1</v>
      </c>
      <c r="AO185" s="3"/>
      <c r="AT185" t="b">
        <v>0</v>
      </c>
      <c r="AU185" t="s">
        <v>74</v>
      </c>
      <c r="AV185" t="b">
        <v>1</v>
      </c>
      <c r="AW185" t="b">
        <v>0</v>
      </c>
      <c r="AX185" s="5">
        <v>0</v>
      </c>
      <c r="AY185" s="3"/>
      <c r="AZ185" t="s">
        <v>67</v>
      </c>
      <c r="BA185" t="s">
        <v>67</v>
      </c>
      <c r="BB185" t="s">
        <v>317</v>
      </c>
    </row>
    <row r="186" spans="1:54" x14ac:dyDescent="0.3">
      <c r="A186">
        <v>1</v>
      </c>
      <c r="B186">
        <v>15</v>
      </c>
      <c r="C186" t="s">
        <v>54</v>
      </c>
      <c r="D186" s="3">
        <v>46097.516319444447</v>
      </c>
      <c r="E186" s="8">
        <v>46097</v>
      </c>
      <c r="F186" t="s">
        <v>1041</v>
      </c>
      <c r="G186" t="s">
        <v>307</v>
      </c>
      <c r="H186" t="s">
        <v>1042</v>
      </c>
      <c r="I186" t="s">
        <v>1043</v>
      </c>
      <c r="J186" t="s">
        <v>1044</v>
      </c>
      <c r="L186" t="s">
        <v>1045</v>
      </c>
      <c r="M186" t="s">
        <v>1046</v>
      </c>
      <c r="N186" t="s">
        <v>1046</v>
      </c>
      <c r="O186" t="s">
        <v>1047</v>
      </c>
      <c r="P186" t="s">
        <v>1048</v>
      </c>
      <c r="Q186" s="5">
        <v>1</v>
      </c>
      <c r="R186" s="6">
        <v>320</v>
      </c>
      <c r="S186" s="6">
        <v>320</v>
      </c>
      <c r="T186" s="6">
        <v>200</v>
      </c>
      <c r="U186" s="3">
        <v>46097.291666666657</v>
      </c>
      <c r="X186" t="s">
        <v>70</v>
      </c>
      <c r="Y186" t="s">
        <v>23</v>
      </c>
      <c r="Z186" t="s">
        <v>69</v>
      </c>
      <c r="AA186" t="s">
        <v>69</v>
      </c>
      <c r="AB186" t="s">
        <v>67</v>
      </c>
      <c r="AC186" t="s">
        <v>70</v>
      </c>
      <c r="AD186" t="s">
        <v>1049</v>
      </c>
      <c r="AE186" t="s">
        <v>102</v>
      </c>
      <c r="AF186" t="s">
        <v>67</v>
      </c>
      <c r="AH186" t="b">
        <v>0</v>
      </c>
      <c r="AI186" t="b">
        <v>0</v>
      </c>
      <c r="AJ186" t="b">
        <v>0</v>
      </c>
      <c r="AK186" t="b">
        <v>0</v>
      </c>
      <c r="AL186" s="6">
        <v>200</v>
      </c>
      <c r="AM186" s="3">
        <v>46097.291666666657</v>
      </c>
      <c r="AN186">
        <v>1</v>
      </c>
      <c r="AO186" s="3"/>
      <c r="AT186" t="b">
        <v>0</v>
      </c>
      <c r="AU186" t="s">
        <v>74</v>
      </c>
      <c r="AV186" t="b">
        <v>1</v>
      </c>
      <c r="AW186" t="b">
        <v>0</v>
      </c>
      <c r="AX186" s="5">
        <v>0</v>
      </c>
      <c r="AY186" s="3"/>
      <c r="AZ186" t="s">
        <v>67</v>
      </c>
      <c r="BA186" t="s">
        <v>67</v>
      </c>
      <c r="BB186" t="s">
        <v>317</v>
      </c>
    </row>
    <row r="187" spans="1:54" x14ac:dyDescent="0.3">
      <c r="A187">
        <v>1</v>
      </c>
      <c r="B187">
        <v>15</v>
      </c>
      <c r="C187" t="s">
        <v>54</v>
      </c>
      <c r="D187" s="3">
        <v>46097.518275462957</v>
      </c>
      <c r="E187" s="8">
        <v>46097</v>
      </c>
      <c r="F187" t="s">
        <v>1050</v>
      </c>
      <c r="G187" t="s">
        <v>307</v>
      </c>
      <c r="H187" t="s">
        <v>1042</v>
      </c>
      <c r="I187" t="s">
        <v>1043</v>
      </c>
      <c r="J187" t="s">
        <v>1044</v>
      </c>
      <c r="L187" t="s">
        <v>1045</v>
      </c>
      <c r="M187" t="s">
        <v>1046</v>
      </c>
      <c r="N187" t="s">
        <v>1046</v>
      </c>
      <c r="O187" t="s">
        <v>752</v>
      </c>
      <c r="P187" t="s">
        <v>753</v>
      </c>
      <c r="Q187" s="5">
        <v>1</v>
      </c>
      <c r="R187" s="6">
        <v>80</v>
      </c>
      <c r="S187" s="6">
        <v>80</v>
      </c>
      <c r="T187" s="6">
        <v>0</v>
      </c>
      <c r="U187" s="3">
        <v>46097.291666666657</v>
      </c>
      <c r="X187" t="s">
        <v>70</v>
      </c>
      <c r="Y187" t="s">
        <v>23</v>
      </c>
      <c r="Z187" t="s">
        <v>69</v>
      </c>
      <c r="AA187" t="s">
        <v>69</v>
      </c>
      <c r="AB187" t="s">
        <v>67</v>
      </c>
      <c r="AC187" t="s">
        <v>70</v>
      </c>
      <c r="AD187" t="s">
        <v>1049</v>
      </c>
      <c r="AE187" t="s">
        <v>102</v>
      </c>
      <c r="AF187" t="s">
        <v>67</v>
      </c>
      <c r="AG187" t="s">
        <v>752</v>
      </c>
      <c r="AH187" t="b">
        <v>0</v>
      </c>
      <c r="AI187" t="b">
        <v>0</v>
      </c>
      <c r="AJ187" t="b">
        <v>0</v>
      </c>
      <c r="AK187" t="b">
        <v>0</v>
      </c>
      <c r="AL187" s="6">
        <v>0</v>
      </c>
      <c r="AM187" s="3">
        <v>46097.291666666657</v>
      </c>
      <c r="AN187">
        <v>1</v>
      </c>
      <c r="AO187" s="3"/>
      <c r="AT187" t="b">
        <v>0</v>
      </c>
      <c r="AU187" t="s">
        <v>74</v>
      </c>
      <c r="AV187" t="b">
        <v>1</v>
      </c>
      <c r="AW187" t="b">
        <v>0</v>
      </c>
      <c r="AX187" s="5">
        <v>0</v>
      </c>
      <c r="AY187" s="3"/>
      <c r="AZ187" t="s">
        <v>67</v>
      </c>
      <c r="BA187" t="s">
        <v>67</v>
      </c>
      <c r="BB187" t="s">
        <v>317</v>
      </c>
    </row>
    <row r="188" spans="1:54" x14ac:dyDescent="0.3">
      <c r="A188">
        <v>1</v>
      </c>
      <c r="B188">
        <v>15</v>
      </c>
      <c r="C188" t="s">
        <v>54</v>
      </c>
      <c r="D188" s="3">
        <v>46106.375243055547</v>
      </c>
      <c r="E188" s="8">
        <v>46106</v>
      </c>
      <c r="F188" t="s">
        <v>1051</v>
      </c>
      <c r="G188" t="s">
        <v>307</v>
      </c>
      <c r="H188" t="s">
        <v>1052</v>
      </c>
      <c r="I188" t="s">
        <v>1053</v>
      </c>
      <c r="J188" t="s">
        <v>363</v>
      </c>
      <c r="K188" t="s">
        <v>1054</v>
      </c>
      <c r="L188" t="s">
        <v>986</v>
      </c>
      <c r="M188" t="s">
        <v>366</v>
      </c>
      <c r="O188" t="s">
        <v>1055</v>
      </c>
      <c r="P188" t="s">
        <v>1056</v>
      </c>
      <c r="Q188" s="5">
        <v>1</v>
      </c>
      <c r="R188" s="6">
        <v>25</v>
      </c>
      <c r="S188" s="6">
        <v>25</v>
      </c>
      <c r="T188" s="6">
        <v>9.8800000000000008</v>
      </c>
      <c r="U188" s="3">
        <v>46316.208333333343</v>
      </c>
      <c r="W188" t="s">
        <v>1057</v>
      </c>
      <c r="X188" t="s">
        <v>67</v>
      </c>
      <c r="Y188" t="s">
        <v>68</v>
      </c>
      <c r="Z188" t="s">
        <v>521</v>
      </c>
      <c r="AA188" t="s">
        <v>522</v>
      </c>
      <c r="AB188" t="s">
        <v>70</v>
      </c>
      <c r="AC188" t="s">
        <v>70</v>
      </c>
      <c r="AD188" t="s">
        <v>370</v>
      </c>
      <c r="AE188" t="s">
        <v>371</v>
      </c>
      <c r="AF188" t="s">
        <v>67</v>
      </c>
      <c r="AG188" t="s">
        <v>1055</v>
      </c>
      <c r="AH188" t="b">
        <v>0</v>
      </c>
      <c r="AI188" t="b">
        <v>0</v>
      </c>
      <c r="AJ188" t="b">
        <v>0</v>
      </c>
      <c r="AK188" t="b">
        <v>0</v>
      </c>
      <c r="AL188" s="6">
        <v>9.8800000000000008</v>
      </c>
      <c r="AM188" s="3">
        <v>46316.208333333343</v>
      </c>
      <c r="AN188">
        <v>1</v>
      </c>
      <c r="AO188" s="3"/>
      <c r="AT188" t="b">
        <v>0</v>
      </c>
      <c r="AU188" t="s">
        <v>74</v>
      </c>
      <c r="AV188" t="b">
        <v>1</v>
      </c>
      <c r="AW188" t="b">
        <v>0</v>
      </c>
      <c r="AX188" s="5">
        <v>0</v>
      </c>
      <c r="AY188" s="3"/>
      <c r="AZ188" t="s">
        <v>67</v>
      </c>
      <c r="BA188" t="s">
        <v>67</v>
      </c>
      <c r="BB188" t="s">
        <v>317</v>
      </c>
    </row>
    <row r="189" spans="1:54" x14ac:dyDescent="0.3">
      <c r="A189">
        <v>1</v>
      </c>
      <c r="B189">
        <v>15</v>
      </c>
      <c r="C189" t="s">
        <v>54</v>
      </c>
      <c r="D189" s="3">
        <v>46106.41814814815</v>
      </c>
      <c r="E189" s="8">
        <v>46106</v>
      </c>
      <c r="F189" t="s">
        <v>1058</v>
      </c>
      <c r="G189" t="s">
        <v>307</v>
      </c>
      <c r="H189" t="s">
        <v>1059</v>
      </c>
      <c r="I189" t="s">
        <v>1060</v>
      </c>
      <c r="J189" t="s">
        <v>363</v>
      </c>
      <c r="K189" t="s">
        <v>1061</v>
      </c>
      <c r="L189" t="s">
        <v>986</v>
      </c>
      <c r="M189" t="s">
        <v>366</v>
      </c>
      <c r="N189" t="s">
        <v>366</v>
      </c>
      <c r="O189" t="s">
        <v>1055</v>
      </c>
      <c r="P189" t="s">
        <v>1056</v>
      </c>
      <c r="Q189" s="5">
        <v>1</v>
      </c>
      <c r="R189" s="6">
        <v>25</v>
      </c>
      <c r="S189" s="6">
        <v>25</v>
      </c>
      <c r="T189" s="6">
        <v>9.8800000000000008</v>
      </c>
      <c r="U189" s="3">
        <v>46412.541666666657</v>
      </c>
      <c r="W189" t="s">
        <v>1062</v>
      </c>
      <c r="X189" t="s">
        <v>67</v>
      </c>
      <c r="Y189" t="s">
        <v>68</v>
      </c>
      <c r="Z189" t="s">
        <v>521</v>
      </c>
      <c r="AA189" t="s">
        <v>522</v>
      </c>
      <c r="AB189" t="s">
        <v>70</v>
      </c>
      <c r="AC189" t="s">
        <v>70</v>
      </c>
      <c r="AD189" t="s">
        <v>370</v>
      </c>
      <c r="AE189" t="s">
        <v>371</v>
      </c>
      <c r="AF189" t="s">
        <v>67</v>
      </c>
      <c r="AG189" t="s">
        <v>1055</v>
      </c>
      <c r="AH189" t="b">
        <v>0</v>
      </c>
      <c r="AI189" t="b">
        <v>0</v>
      </c>
      <c r="AJ189" t="b">
        <v>0</v>
      </c>
      <c r="AK189" t="b">
        <v>0</v>
      </c>
      <c r="AL189" s="6">
        <v>9.8800000000000008</v>
      </c>
      <c r="AM189" s="3">
        <v>46288.583333333343</v>
      </c>
      <c r="AN189">
        <v>1</v>
      </c>
      <c r="AO189" s="3"/>
      <c r="AT189" t="b">
        <v>0</v>
      </c>
      <c r="AU189" t="s">
        <v>74</v>
      </c>
      <c r="AV189" t="b">
        <v>1</v>
      </c>
      <c r="AW189" t="b">
        <v>0</v>
      </c>
      <c r="AX189" s="5">
        <v>0</v>
      </c>
      <c r="AY189" s="3"/>
      <c r="AZ189" t="s">
        <v>67</v>
      </c>
      <c r="BA189" t="s">
        <v>67</v>
      </c>
      <c r="BB189" t="s">
        <v>317</v>
      </c>
    </row>
    <row r="190" spans="1:54" x14ac:dyDescent="0.3">
      <c r="A190">
        <v>1</v>
      </c>
      <c r="B190">
        <v>15</v>
      </c>
      <c r="C190" t="s">
        <v>54</v>
      </c>
      <c r="D190" s="3">
        <v>46106.720231481479</v>
      </c>
      <c r="E190" s="8">
        <v>46106</v>
      </c>
      <c r="F190" t="s">
        <v>1063</v>
      </c>
      <c r="G190" t="s">
        <v>307</v>
      </c>
      <c r="H190" t="s">
        <v>1064</v>
      </c>
      <c r="I190" t="s">
        <v>1065</v>
      </c>
      <c r="J190" t="s">
        <v>363</v>
      </c>
      <c r="K190" t="s">
        <v>1066</v>
      </c>
      <c r="L190" t="s">
        <v>741</v>
      </c>
      <c r="M190" t="s">
        <v>366</v>
      </c>
      <c r="N190" t="s">
        <v>366</v>
      </c>
      <c r="O190" t="s">
        <v>1067</v>
      </c>
      <c r="P190" t="s">
        <v>1068</v>
      </c>
      <c r="Q190" s="5">
        <v>1</v>
      </c>
      <c r="R190" s="6">
        <v>71</v>
      </c>
      <c r="S190" s="6">
        <v>71</v>
      </c>
      <c r="T190" s="6">
        <v>44</v>
      </c>
      <c r="U190" s="3">
        <v>46225.229166666657</v>
      </c>
      <c r="W190" t="s">
        <v>1069</v>
      </c>
      <c r="X190" t="s">
        <v>70</v>
      </c>
      <c r="Y190" t="s">
        <v>23</v>
      </c>
      <c r="Z190" t="s">
        <v>69</v>
      </c>
      <c r="AA190" t="s">
        <v>69</v>
      </c>
      <c r="AB190" t="s">
        <v>67</v>
      </c>
      <c r="AC190" t="s">
        <v>70</v>
      </c>
      <c r="AD190" t="s">
        <v>745</v>
      </c>
      <c r="AE190" t="s">
        <v>102</v>
      </c>
      <c r="AF190" t="s">
        <v>67</v>
      </c>
      <c r="AH190" t="b">
        <v>0</v>
      </c>
      <c r="AI190" t="b">
        <v>1</v>
      </c>
      <c r="AJ190" t="b">
        <v>1</v>
      </c>
      <c r="AK190" t="b">
        <v>1</v>
      </c>
      <c r="AL190" s="6">
        <v>44</v>
      </c>
      <c r="AM190" s="3">
        <v>46225.229166666657</v>
      </c>
      <c r="AN190">
        <v>1</v>
      </c>
      <c r="AO190" s="3"/>
      <c r="AT190" t="b">
        <v>0</v>
      </c>
      <c r="AU190" t="s">
        <v>74</v>
      </c>
      <c r="AV190" t="b">
        <v>1</v>
      </c>
      <c r="AW190" t="b">
        <v>0</v>
      </c>
      <c r="AX190" s="5">
        <v>0</v>
      </c>
      <c r="AY190" s="3"/>
      <c r="AZ190" t="s">
        <v>67</v>
      </c>
      <c r="BA190" t="s">
        <v>67</v>
      </c>
      <c r="BB190" t="s">
        <v>317</v>
      </c>
    </row>
    <row r="191" spans="1:54" x14ac:dyDescent="0.3">
      <c r="A191">
        <v>1</v>
      </c>
      <c r="B191">
        <v>15</v>
      </c>
      <c r="C191" t="s">
        <v>54</v>
      </c>
      <c r="D191" s="3">
        <v>46106.720231481479</v>
      </c>
      <c r="E191" s="8">
        <v>46106</v>
      </c>
      <c r="F191" t="s">
        <v>1063</v>
      </c>
      <c r="G191" t="s">
        <v>307</v>
      </c>
      <c r="H191" t="s">
        <v>1064</v>
      </c>
      <c r="I191" t="s">
        <v>1065</v>
      </c>
      <c r="J191" t="s">
        <v>363</v>
      </c>
      <c r="K191" t="s">
        <v>1066</v>
      </c>
      <c r="L191" t="s">
        <v>741</v>
      </c>
      <c r="M191" t="s">
        <v>366</v>
      </c>
      <c r="N191" t="s">
        <v>366</v>
      </c>
      <c r="O191" t="s">
        <v>506</v>
      </c>
      <c r="P191" t="s">
        <v>507</v>
      </c>
      <c r="Q191" s="5">
        <v>1</v>
      </c>
      <c r="R191" s="6">
        <v>237.8</v>
      </c>
      <c r="S191" s="6">
        <v>237.8</v>
      </c>
      <c r="T191" s="6">
        <v>113.21</v>
      </c>
      <c r="U191" s="3">
        <v>46225.229166666657</v>
      </c>
      <c r="W191" t="s">
        <v>1069</v>
      </c>
      <c r="X191" t="s">
        <v>70</v>
      </c>
      <c r="Y191" t="s">
        <v>68</v>
      </c>
      <c r="Z191" t="s">
        <v>69</v>
      </c>
      <c r="AA191" t="s">
        <v>69</v>
      </c>
      <c r="AB191" t="s">
        <v>67</v>
      </c>
      <c r="AC191" t="s">
        <v>70</v>
      </c>
      <c r="AD191" t="s">
        <v>745</v>
      </c>
      <c r="AE191" t="s">
        <v>371</v>
      </c>
      <c r="AF191" t="s">
        <v>67</v>
      </c>
      <c r="AG191" t="s">
        <v>509</v>
      </c>
      <c r="AH191" t="b">
        <v>0</v>
      </c>
      <c r="AI191" t="b">
        <v>1</v>
      </c>
      <c r="AJ191" t="b">
        <v>1</v>
      </c>
      <c r="AK191" t="b">
        <v>1</v>
      </c>
      <c r="AL191" s="6">
        <v>113.21</v>
      </c>
      <c r="AM191" s="3">
        <v>46225.229166666657</v>
      </c>
      <c r="AN191">
        <v>1</v>
      </c>
      <c r="AO191" s="3"/>
      <c r="AT191" t="b">
        <v>0</v>
      </c>
      <c r="AU191" t="s">
        <v>74</v>
      </c>
      <c r="AV191" t="b">
        <v>1</v>
      </c>
      <c r="AW191" t="b">
        <v>0</v>
      </c>
      <c r="AX191" s="5">
        <v>0</v>
      </c>
      <c r="AY191" s="3"/>
      <c r="AZ191" t="s">
        <v>67</v>
      </c>
      <c r="BA191" t="s">
        <v>67</v>
      </c>
      <c r="BB191" t="s">
        <v>317</v>
      </c>
    </row>
    <row r="192" spans="1:54" x14ac:dyDescent="0.3">
      <c r="A192">
        <v>1</v>
      </c>
      <c r="B192">
        <v>15</v>
      </c>
      <c r="C192" t="s">
        <v>54</v>
      </c>
      <c r="D192" s="3">
        <v>46122.393263888887</v>
      </c>
      <c r="E192" s="8">
        <v>46122</v>
      </c>
      <c r="F192" t="s">
        <v>1070</v>
      </c>
      <c r="G192" t="s">
        <v>307</v>
      </c>
      <c r="H192" t="s">
        <v>150</v>
      </c>
      <c r="I192" t="s">
        <v>151</v>
      </c>
      <c r="J192" t="s">
        <v>749</v>
      </c>
      <c r="L192" t="s">
        <v>1071</v>
      </c>
      <c r="M192" t="s">
        <v>97</v>
      </c>
      <c r="N192" t="s">
        <v>97</v>
      </c>
      <c r="O192" t="s">
        <v>1072</v>
      </c>
      <c r="P192" t="s">
        <v>1073</v>
      </c>
      <c r="Q192" s="5">
        <v>1</v>
      </c>
      <c r="R192" s="6">
        <v>727</v>
      </c>
      <c r="S192" s="6">
        <v>727</v>
      </c>
      <c r="T192" s="6">
        <v>454</v>
      </c>
      <c r="U192" s="3">
        <v>46301.25</v>
      </c>
      <c r="W192" t="s">
        <v>1074</v>
      </c>
      <c r="X192" t="s">
        <v>70</v>
      </c>
      <c r="Y192" t="s">
        <v>23</v>
      </c>
      <c r="Z192" t="s">
        <v>69</v>
      </c>
      <c r="AA192" t="s">
        <v>69</v>
      </c>
      <c r="AB192" t="s">
        <v>67</v>
      </c>
      <c r="AC192" t="s">
        <v>70</v>
      </c>
      <c r="AD192" t="s">
        <v>101</v>
      </c>
      <c r="AE192" t="s">
        <v>102</v>
      </c>
      <c r="AF192" t="s">
        <v>67</v>
      </c>
      <c r="AH192" t="b">
        <v>0</v>
      </c>
      <c r="AI192" t="b">
        <v>0</v>
      </c>
      <c r="AJ192" t="b">
        <v>0</v>
      </c>
      <c r="AK192" t="b">
        <v>0</v>
      </c>
      <c r="AL192" s="6">
        <v>454</v>
      </c>
      <c r="AM192" s="3">
        <v>46185.208333333343</v>
      </c>
      <c r="AN192">
        <v>1</v>
      </c>
      <c r="AO192" s="3"/>
      <c r="AT192" t="b">
        <v>0</v>
      </c>
      <c r="AU192" t="s">
        <v>74</v>
      </c>
      <c r="AV192" t="b">
        <v>1</v>
      </c>
      <c r="AW192" t="b">
        <v>0</v>
      </c>
      <c r="AX192" s="5">
        <v>0</v>
      </c>
      <c r="AY192" s="3"/>
      <c r="AZ192" t="s">
        <v>67</v>
      </c>
      <c r="BA192" t="s">
        <v>67</v>
      </c>
      <c r="BB192" t="s">
        <v>317</v>
      </c>
    </row>
    <row r="193" spans="1:54" x14ac:dyDescent="0.3">
      <c r="A193">
        <v>1</v>
      </c>
      <c r="B193">
        <v>15</v>
      </c>
      <c r="C193" t="s">
        <v>54</v>
      </c>
      <c r="D193" s="3">
        <v>46122.393263888887</v>
      </c>
      <c r="E193" s="8">
        <v>46122</v>
      </c>
      <c r="F193" t="s">
        <v>1070</v>
      </c>
      <c r="G193" t="s">
        <v>307</v>
      </c>
      <c r="H193" t="s">
        <v>150</v>
      </c>
      <c r="I193" t="s">
        <v>151</v>
      </c>
      <c r="J193" t="s">
        <v>749</v>
      </c>
      <c r="L193" t="s">
        <v>1071</v>
      </c>
      <c r="M193" t="s">
        <v>97</v>
      </c>
      <c r="N193" t="s">
        <v>97</v>
      </c>
      <c r="O193" t="s">
        <v>752</v>
      </c>
      <c r="P193" t="s">
        <v>753</v>
      </c>
      <c r="Q193" s="5">
        <v>1</v>
      </c>
      <c r="R193" s="6">
        <v>80</v>
      </c>
      <c r="S193" s="6">
        <v>80</v>
      </c>
      <c r="T193" s="6">
        <v>0</v>
      </c>
      <c r="U193" s="3">
        <v>46301.25</v>
      </c>
      <c r="W193" t="s">
        <v>1074</v>
      </c>
      <c r="X193" t="s">
        <v>70</v>
      </c>
      <c r="Y193" t="s">
        <v>23</v>
      </c>
      <c r="Z193" t="s">
        <v>69</v>
      </c>
      <c r="AA193" t="s">
        <v>69</v>
      </c>
      <c r="AB193" t="s">
        <v>67</v>
      </c>
      <c r="AC193" t="s">
        <v>70</v>
      </c>
      <c r="AD193" t="s">
        <v>101</v>
      </c>
      <c r="AE193" t="s">
        <v>102</v>
      </c>
      <c r="AF193" t="s">
        <v>67</v>
      </c>
      <c r="AG193" t="s">
        <v>752</v>
      </c>
      <c r="AH193" t="b">
        <v>0</v>
      </c>
      <c r="AI193" t="b">
        <v>0</v>
      </c>
      <c r="AJ193" t="b">
        <v>0</v>
      </c>
      <c r="AK193" t="b">
        <v>0</v>
      </c>
      <c r="AL193" s="6">
        <v>0</v>
      </c>
      <c r="AM193" s="3">
        <v>46185.208333333343</v>
      </c>
      <c r="AN193">
        <v>1</v>
      </c>
      <c r="AO193" s="3"/>
      <c r="AT193" t="b">
        <v>0</v>
      </c>
      <c r="AU193" t="s">
        <v>74</v>
      </c>
      <c r="AV193" t="b">
        <v>1</v>
      </c>
      <c r="AW193" t="b">
        <v>0</v>
      </c>
      <c r="AX193" s="5">
        <v>0</v>
      </c>
      <c r="AY193" s="3"/>
      <c r="AZ193" t="s">
        <v>67</v>
      </c>
      <c r="BA193" t="s">
        <v>67</v>
      </c>
      <c r="BB193" t="s">
        <v>317</v>
      </c>
    </row>
    <row r="194" spans="1:54" x14ac:dyDescent="0.3">
      <c r="A194">
        <v>1</v>
      </c>
      <c r="B194">
        <v>15</v>
      </c>
      <c r="C194" t="s">
        <v>54</v>
      </c>
      <c r="D194" s="3">
        <v>46122.414375</v>
      </c>
      <c r="E194" s="8">
        <v>46274</v>
      </c>
      <c r="F194" t="s">
        <v>1075</v>
      </c>
      <c r="G194" t="s">
        <v>307</v>
      </c>
      <c r="H194" t="s">
        <v>1076</v>
      </c>
      <c r="I194" t="s">
        <v>1077</v>
      </c>
      <c r="J194" t="s">
        <v>749</v>
      </c>
      <c r="K194" t="s">
        <v>1078</v>
      </c>
      <c r="L194" t="s">
        <v>1071</v>
      </c>
      <c r="M194" t="s">
        <v>97</v>
      </c>
      <c r="N194" t="s">
        <v>97</v>
      </c>
      <c r="O194" t="s">
        <v>1072</v>
      </c>
      <c r="P194" t="s">
        <v>1073</v>
      </c>
      <c r="Q194" s="5">
        <v>8</v>
      </c>
      <c r="R194" s="6">
        <v>727</v>
      </c>
      <c r="S194" s="6">
        <v>5816</v>
      </c>
      <c r="T194" s="6">
        <v>3632</v>
      </c>
      <c r="U194" s="3">
        <v>46333.25</v>
      </c>
      <c r="W194" t="s">
        <v>1079</v>
      </c>
      <c r="X194" t="s">
        <v>70</v>
      </c>
      <c r="Y194" t="s">
        <v>23</v>
      </c>
      <c r="Z194" t="s">
        <v>69</v>
      </c>
      <c r="AA194" t="s">
        <v>69</v>
      </c>
      <c r="AB194" t="s">
        <v>67</v>
      </c>
      <c r="AC194" t="s">
        <v>70</v>
      </c>
      <c r="AD194" t="s">
        <v>101</v>
      </c>
      <c r="AE194" t="s">
        <v>102</v>
      </c>
      <c r="AF194" t="s">
        <v>67</v>
      </c>
      <c r="AH194" t="b">
        <v>0</v>
      </c>
      <c r="AI194" t="b">
        <v>0</v>
      </c>
      <c r="AJ194" t="b">
        <v>0</v>
      </c>
      <c r="AK194" t="b">
        <v>0</v>
      </c>
      <c r="AL194" s="6">
        <v>454</v>
      </c>
      <c r="AM194" s="3">
        <v>46333.25</v>
      </c>
      <c r="AN194">
        <v>1</v>
      </c>
      <c r="AO194" s="3"/>
      <c r="AT194" t="b">
        <v>0</v>
      </c>
      <c r="AU194" t="s">
        <v>74</v>
      </c>
      <c r="AV194" t="b">
        <v>1</v>
      </c>
      <c r="AW194" t="b">
        <v>0</v>
      </c>
      <c r="AX194" s="5">
        <v>0</v>
      </c>
      <c r="AY194" s="3"/>
      <c r="AZ194" t="s">
        <v>67</v>
      </c>
      <c r="BA194" t="s">
        <v>67</v>
      </c>
      <c r="BB194" t="s">
        <v>317</v>
      </c>
    </row>
    <row r="195" spans="1:54" x14ac:dyDescent="0.3">
      <c r="A195">
        <v>1</v>
      </c>
      <c r="B195">
        <v>15</v>
      </c>
      <c r="C195" t="s">
        <v>54</v>
      </c>
      <c r="D195" s="3">
        <v>46122.414375</v>
      </c>
      <c r="E195" s="8">
        <v>46274</v>
      </c>
      <c r="F195" t="s">
        <v>1075</v>
      </c>
      <c r="G195" t="s">
        <v>307</v>
      </c>
      <c r="H195" t="s">
        <v>1076</v>
      </c>
      <c r="I195" t="s">
        <v>1077</v>
      </c>
      <c r="J195" t="s">
        <v>749</v>
      </c>
      <c r="K195" t="s">
        <v>1078</v>
      </c>
      <c r="L195" t="s">
        <v>1071</v>
      </c>
      <c r="M195" t="s">
        <v>97</v>
      </c>
      <c r="N195" t="s">
        <v>97</v>
      </c>
      <c r="O195" t="s">
        <v>1080</v>
      </c>
      <c r="P195" t="s">
        <v>1081</v>
      </c>
      <c r="Q195" s="5">
        <v>3</v>
      </c>
      <c r="R195" s="6">
        <v>727</v>
      </c>
      <c r="S195" s="6">
        <v>2181</v>
      </c>
      <c r="T195" s="6">
        <v>1362</v>
      </c>
      <c r="U195" s="3">
        <v>46333.25</v>
      </c>
      <c r="W195" t="s">
        <v>1079</v>
      </c>
      <c r="X195" t="s">
        <v>70</v>
      </c>
      <c r="Y195" t="s">
        <v>23</v>
      </c>
      <c r="Z195" t="s">
        <v>69</v>
      </c>
      <c r="AA195" t="s">
        <v>69</v>
      </c>
      <c r="AB195" t="s">
        <v>67</v>
      </c>
      <c r="AC195" t="s">
        <v>70</v>
      </c>
      <c r="AD195" t="s">
        <v>101</v>
      </c>
      <c r="AF195" t="s">
        <v>67</v>
      </c>
      <c r="AH195" t="b">
        <v>0</v>
      </c>
      <c r="AI195" t="b">
        <v>0</v>
      </c>
      <c r="AJ195" t="b">
        <v>0</v>
      </c>
      <c r="AK195" t="b">
        <v>0</v>
      </c>
      <c r="AL195" s="6">
        <v>454</v>
      </c>
      <c r="AM195" s="3">
        <v>46333.25</v>
      </c>
      <c r="AN195">
        <v>1</v>
      </c>
      <c r="AO195" s="3"/>
      <c r="AT195" t="b">
        <v>0</v>
      </c>
      <c r="AU195" t="s">
        <v>74</v>
      </c>
      <c r="AV195" t="b">
        <v>1</v>
      </c>
      <c r="AW195" t="b">
        <v>0</v>
      </c>
      <c r="AX195" s="5">
        <v>0</v>
      </c>
      <c r="AY195" s="3"/>
      <c r="AZ195" t="s">
        <v>67</v>
      </c>
      <c r="BA195" t="s">
        <v>67</v>
      </c>
      <c r="BB195" t="s">
        <v>317</v>
      </c>
    </row>
    <row r="196" spans="1:54" x14ac:dyDescent="0.3">
      <c r="A196">
        <v>1</v>
      </c>
      <c r="B196">
        <v>15</v>
      </c>
      <c r="C196" t="s">
        <v>54</v>
      </c>
      <c r="D196" s="3">
        <v>46122.414375</v>
      </c>
      <c r="E196" s="8">
        <v>46274</v>
      </c>
      <c r="F196" t="s">
        <v>1075</v>
      </c>
      <c r="G196" t="s">
        <v>307</v>
      </c>
      <c r="H196" t="s">
        <v>1076</v>
      </c>
      <c r="I196" t="s">
        <v>1077</v>
      </c>
      <c r="J196" t="s">
        <v>749</v>
      </c>
      <c r="K196" t="s">
        <v>1078</v>
      </c>
      <c r="L196" t="s">
        <v>1071</v>
      </c>
      <c r="M196" t="s">
        <v>97</v>
      </c>
      <c r="N196" t="s">
        <v>97</v>
      </c>
      <c r="O196" t="s">
        <v>752</v>
      </c>
      <c r="P196" t="s">
        <v>753</v>
      </c>
      <c r="Q196" s="5">
        <v>3</v>
      </c>
      <c r="R196" s="6">
        <v>80</v>
      </c>
      <c r="S196" s="6">
        <v>240</v>
      </c>
      <c r="T196" s="6">
        <v>0</v>
      </c>
      <c r="U196" s="3">
        <v>46333.25</v>
      </c>
      <c r="W196" t="s">
        <v>1079</v>
      </c>
      <c r="X196" t="s">
        <v>70</v>
      </c>
      <c r="Y196" t="s">
        <v>23</v>
      </c>
      <c r="Z196" t="s">
        <v>69</v>
      </c>
      <c r="AA196" t="s">
        <v>69</v>
      </c>
      <c r="AB196" t="s">
        <v>67</v>
      </c>
      <c r="AC196" t="s">
        <v>70</v>
      </c>
      <c r="AD196" t="s">
        <v>101</v>
      </c>
      <c r="AE196" t="s">
        <v>102</v>
      </c>
      <c r="AF196" t="s">
        <v>67</v>
      </c>
      <c r="AG196" t="s">
        <v>752</v>
      </c>
      <c r="AH196" t="b">
        <v>0</v>
      </c>
      <c r="AI196" t="b">
        <v>0</v>
      </c>
      <c r="AJ196" t="b">
        <v>0</v>
      </c>
      <c r="AK196" t="b">
        <v>0</v>
      </c>
      <c r="AL196" s="6">
        <v>0</v>
      </c>
      <c r="AM196" s="3">
        <v>46333.25</v>
      </c>
      <c r="AN196">
        <v>1</v>
      </c>
      <c r="AO196" s="3"/>
      <c r="AT196" t="b">
        <v>0</v>
      </c>
      <c r="AU196" t="s">
        <v>74</v>
      </c>
      <c r="AV196" t="b">
        <v>1</v>
      </c>
      <c r="AW196" t="b">
        <v>0</v>
      </c>
      <c r="AX196" s="5">
        <v>0</v>
      </c>
      <c r="AY196" s="3"/>
      <c r="AZ196" t="s">
        <v>67</v>
      </c>
      <c r="BA196" t="s">
        <v>67</v>
      </c>
      <c r="BB196" t="s">
        <v>317</v>
      </c>
    </row>
    <row r="197" spans="1:54" x14ac:dyDescent="0.3">
      <c r="A197">
        <v>1</v>
      </c>
      <c r="B197">
        <v>15</v>
      </c>
      <c r="C197" t="s">
        <v>54</v>
      </c>
      <c r="D197" s="3">
        <v>46122.414375</v>
      </c>
      <c r="E197" s="8">
        <v>46274</v>
      </c>
      <c r="F197" t="s">
        <v>1075</v>
      </c>
      <c r="G197" t="s">
        <v>307</v>
      </c>
      <c r="H197" t="s">
        <v>1076</v>
      </c>
      <c r="I197" t="s">
        <v>1077</v>
      </c>
      <c r="J197" t="s">
        <v>749</v>
      </c>
      <c r="K197" t="s">
        <v>1078</v>
      </c>
      <c r="L197" t="s">
        <v>1071</v>
      </c>
      <c r="M197" t="s">
        <v>97</v>
      </c>
      <c r="N197" t="s">
        <v>97</v>
      </c>
      <c r="O197" t="s">
        <v>1082</v>
      </c>
      <c r="P197" t="s">
        <v>1083</v>
      </c>
      <c r="Q197" s="5">
        <v>2</v>
      </c>
      <c r="R197" s="6">
        <v>175</v>
      </c>
      <c r="S197" s="6">
        <v>350</v>
      </c>
      <c r="T197" s="6">
        <v>126.96</v>
      </c>
      <c r="U197" s="3">
        <v>46333.25</v>
      </c>
      <c r="W197" t="s">
        <v>1079</v>
      </c>
      <c r="X197" t="s">
        <v>70</v>
      </c>
      <c r="Y197" t="s">
        <v>68</v>
      </c>
      <c r="Z197" t="s">
        <v>69</v>
      </c>
      <c r="AA197" t="s">
        <v>69</v>
      </c>
      <c r="AB197" t="s">
        <v>67</v>
      </c>
      <c r="AC197" t="s">
        <v>70</v>
      </c>
      <c r="AD197" t="s">
        <v>101</v>
      </c>
      <c r="AE197" t="s">
        <v>220</v>
      </c>
      <c r="AF197" t="s">
        <v>67</v>
      </c>
      <c r="AG197" t="s">
        <v>1084</v>
      </c>
      <c r="AH197" t="b">
        <v>0</v>
      </c>
      <c r="AI197" t="b">
        <v>0</v>
      </c>
      <c r="AJ197" t="b">
        <v>0</v>
      </c>
      <c r="AK197" t="b">
        <v>0</v>
      </c>
      <c r="AL197" s="6">
        <v>63.48</v>
      </c>
      <c r="AM197" s="3">
        <v>46333.25</v>
      </c>
      <c r="AN197">
        <v>1</v>
      </c>
      <c r="AO197" s="3"/>
      <c r="AT197" t="b">
        <v>0</v>
      </c>
      <c r="AU197" t="s">
        <v>74</v>
      </c>
      <c r="AV197" t="b">
        <v>1</v>
      </c>
      <c r="AW197" t="b">
        <v>0</v>
      </c>
      <c r="AX197" s="5">
        <v>0</v>
      </c>
      <c r="AY197" s="3"/>
      <c r="AZ197" t="s">
        <v>67</v>
      </c>
      <c r="BA197" t="s">
        <v>67</v>
      </c>
      <c r="BB197" t="s">
        <v>317</v>
      </c>
    </row>
    <row r="198" spans="1:54" x14ac:dyDescent="0.3">
      <c r="A198">
        <v>1</v>
      </c>
      <c r="B198">
        <v>15</v>
      </c>
      <c r="C198" t="s">
        <v>54</v>
      </c>
      <c r="D198" s="3">
        <v>46122.414375</v>
      </c>
      <c r="E198" s="8">
        <v>46274</v>
      </c>
      <c r="F198" t="s">
        <v>1075</v>
      </c>
      <c r="G198" t="s">
        <v>307</v>
      </c>
      <c r="H198" t="s">
        <v>1076</v>
      </c>
      <c r="I198" t="s">
        <v>1077</v>
      </c>
      <c r="J198" t="s">
        <v>749</v>
      </c>
      <c r="K198" t="s">
        <v>1078</v>
      </c>
      <c r="L198" t="s">
        <v>1071</v>
      </c>
      <c r="M198" t="s">
        <v>97</v>
      </c>
      <c r="N198" t="s">
        <v>97</v>
      </c>
      <c r="O198" t="s">
        <v>1085</v>
      </c>
      <c r="P198" t="s">
        <v>1086</v>
      </c>
      <c r="Q198" s="5">
        <v>1</v>
      </c>
      <c r="R198" s="6">
        <v>175</v>
      </c>
      <c r="S198" s="6">
        <v>175</v>
      </c>
      <c r="T198" s="6">
        <v>63.48</v>
      </c>
      <c r="U198" s="3">
        <v>46333.25</v>
      </c>
      <c r="W198" t="s">
        <v>1079</v>
      </c>
      <c r="X198" t="s">
        <v>70</v>
      </c>
      <c r="Y198" t="s">
        <v>68</v>
      </c>
      <c r="Z198" t="s">
        <v>69</v>
      </c>
      <c r="AA198" t="s">
        <v>69</v>
      </c>
      <c r="AB198" t="s">
        <v>67</v>
      </c>
      <c r="AC198" t="s">
        <v>70</v>
      </c>
      <c r="AD198" t="s">
        <v>101</v>
      </c>
      <c r="AE198" t="s">
        <v>220</v>
      </c>
      <c r="AF198" t="s">
        <v>67</v>
      </c>
      <c r="AG198" t="s">
        <v>1087</v>
      </c>
      <c r="AH198" t="b">
        <v>0</v>
      </c>
      <c r="AI198" t="b">
        <v>0</v>
      </c>
      <c r="AJ198" t="b">
        <v>0</v>
      </c>
      <c r="AK198" t="b">
        <v>0</v>
      </c>
      <c r="AL198" s="6">
        <v>63.48</v>
      </c>
      <c r="AM198" s="3">
        <v>46333.25</v>
      </c>
      <c r="AN198">
        <v>1</v>
      </c>
      <c r="AO198" s="3"/>
      <c r="AT198" t="b">
        <v>0</v>
      </c>
      <c r="AU198" t="s">
        <v>74</v>
      </c>
      <c r="AV198" t="b">
        <v>1</v>
      </c>
      <c r="AW198" t="b">
        <v>0</v>
      </c>
      <c r="AX198" s="5">
        <v>0</v>
      </c>
      <c r="AY198" s="3"/>
      <c r="AZ198" t="s">
        <v>67</v>
      </c>
      <c r="BA198" t="s">
        <v>67</v>
      </c>
      <c r="BB198" t="s">
        <v>317</v>
      </c>
    </row>
    <row r="199" spans="1:54" x14ac:dyDescent="0.3">
      <c r="A199">
        <v>1</v>
      </c>
      <c r="B199">
        <v>15</v>
      </c>
      <c r="C199" t="s">
        <v>54</v>
      </c>
      <c r="D199" s="3">
        <v>46122.414375</v>
      </c>
      <c r="E199" s="8">
        <v>46274</v>
      </c>
      <c r="F199" t="s">
        <v>1075</v>
      </c>
      <c r="G199" t="s">
        <v>307</v>
      </c>
      <c r="H199" t="s">
        <v>1076</v>
      </c>
      <c r="I199" t="s">
        <v>1077</v>
      </c>
      <c r="J199" t="s">
        <v>749</v>
      </c>
      <c r="K199" t="s">
        <v>1078</v>
      </c>
      <c r="L199" t="s">
        <v>1071</v>
      </c>
      <c r="M199" t="s">
        <v>97</v>
      </c>
      <c r="N199" t="s">
        <v>97</v>
      </c>
      <c r="O199" t="s">
        <v>218</v>
      </c>
      <c r="P199" t="s">
        <v>219</v>
      </c>
      <c r="Q199" s="5">
        <v>2</v>
      </c>
      <c r="R199" s="6">
        <v>38</v>
      </c>
      <c r="S199" s="6">
        <v>76</v>
      </c>
      <c r="T199" s="6">
        <v>27.6</v>
      </c>
      <c r="U199" s="3">
        <v>46333.25</v>
      </c>
      <c r="W199" t="s">
        <v>1079</v>
      </c>
      <c r="X199" t="s">
        <v>70</v>
      </c>
      <c r="Y199" t="s">
        <v>68</v>
      </c>
      <c r="Z199" t="s">
        <v>69</v>
      </c>
      <c r="AA199" t="s">
        <v>69</v>
      </c>
      <c r="AB199" t="s">
        <v>67</v>
      </c>
      <c r="AC199" t="s">
        <v>70</v>
      </c>
      <c r="AD199" t="s">
        <v>101</v>
      </c>
      <c r="AE199" t="s">
        <v>220</v>
      </c>
      <c r="AF199" t="s">
        <v>67</v>
      </c>
      <c r="AG199" t="s">
        <v>221</v>
      </c>
      <c r="AH199" t="b">
        <v>0</v>
      </c>
      <c r="AI199" t="b">
        <v>0</v>
      </c>
      <c r="AJ199" t="b">
        <v>0</v>
      </c>
      <c r="AK199" t="b">
        <v>0</v>
      </c>
      <c r="AL199" s="6">
        <v>13.8</v>
      </c>
      <c r="AM199" s="3">
        <v>46333.25</v>
      </c>
      <c r="AN199">
        <v>1</v>
      </c>
      <c r="AO199" s="3"/>
      <c r="AT199" t="b">
        <v>0</v>
      </c>
      <c r="AU199" t="s">
        <v>74</v>
      </c>
      <c r="AV199" t="b">
        <v>1</v>
      </c>
      <c r="AW199" t="b">
        <v>0</v>
      </c>
      <c r="AX199" s="5">
        <v>0</v>
      </c>
      <c r="AY199" s="3"/>
      <c r="AZ199" t="s">
        <v>67</v>
      </c>
      <c r="BA199" t="s">
        <v>67</v>
      </c>
      <c r="BB199" t="s">
        <v>317</v>
      </c>
    </row>
    <row r="200" spans="1:54" x14ac:dyDescent="0.3">
      <c r="A200">
        <v>1</v>
      </c>
      <c r="B200">
        <v>15</v>
      </c>
      <c r="C200" t="s">
        <v>54</v>
      </c>
      <c r="D200" s="3">
        <v>46122.414375</v>
      </c>
      <c r="E200" s="8">
        <v>46274</v>
      </c>
      <c r="F200" t="s">
        <v>1075</v>
      </c>
      <c r="G200" t="s">
        <v>307</v>
      </c>
      <c r="H200" t="s">
        <v>1076</v>
      </c>
      <c r="I200" t="s">
        <v>1077</v>
      </c>
      <c r="J200" t="s">
        <v>749</v>
      </c>
      <c r="K200" t="s">
        <v>1078</v>
      </c>
      <c r="L200" t="s">
        <v>1071</v>
      </c>
      <c r="M200" t="s">
        <v>97</v>
      </c>
      <c r="N200" t="s">
        <v>97</v>
      </c>
      <c r="O200" t="s">
        <v>1088</v>
      </c>
      <c r="P200" t="s">
        <v>1089</v>
      </c>
      <c r="Q200" s="5">
        <v>1</v>
      </c>
      <c r="R200" s="6">
        <v>56</v>
      </c>
      <c r="S200" s="6">
        <v>56</v>
      </c>
      <c r="T200" s="6">
        <v>20.239999999999998</v>
      </c>
      <c r="U200" s="3">
        <v>46333.25</v>
      </c>
      <c r="W200" t="s">
        <v>1079</v>
      </c>
      <c r="X200" t="s">
        <v>70</v>
      </c>
      <c r="Y200" t="s">
        <v>68</v>
      </c>
      <c r="Z200" t="s">
        <v>69</v>
      </c>
      <c r="AA200" t="s">
        <v>69</v>
      </c>
      <c r="AB200" t="s">
        <v>67</v>
      </c>
      <c r="AC200" t="s">
        <v>70</v>
      </c>
      <c r="AD200" t="s">
        <v>101</v>
      </c>
      <c r="AE200" t="s">
        <v>220</v>
      </c>
      <c r="AF200" t="s">
        <v>67</v>
      </c>
      <c r="AG200" t="s">
        <v>1090</v>
      </c>
      <c r="AH200" t="b">
        <v>0</v>
      </c>
      <c r="AI200" t="b">
        <v>0</v>
      </c>
      <c r="AJ200" t="b">
        <v>0</v>
      </c>
      <c r="AK200" t="b">
        <v>0</v>
      </c>
      <c r="AL200" s="6">
        <v>20.239999999999998</v>
      </c>
      <c r="AM200" s="3">
        <v>46333.25</v>
      </c>
      <c r="AN200">
        <v>1</v>
      </c>
      <c r="AO200" s="3"/>
      <c r="AT200" t="b">
        <v>0</v>
      </c>
      <c r="AU200" t="s">
        <v>74</v>
      </c>
      <c r="AV200" t="b">
        <v>1</v>
      </c>
      <c r="AW200" t="b">
        <v>0</v>
      </c>
      <c r="AX200" s="5">
        <v>0</v>
      </c>
      <c r="AY200" s="3"/>
      <c r="AZ200" t="s">
        <v>67</v>
      </c>
      <c r="BA200" t="s">
        <v>67</v>
      </c>
      <c r="BB200" t="s">
        <v>317</v>
      </c>
    </row>
    <row r="201" spans="1:54" x14ac:dyDescent="0.3">
      <c r="A201">
        <v>1</v>
      </c>
      <c r="B201">
        <v>15</v>
      </c>
      <c r="C201" t="s">
        <v>54</v>
      </c>
      <c r="D201" s="3">
        <v>46122.414375</v>
      </c>
      <c r="E201" s="8">
        <v>46274</v>
      </c>
      <c r="F201" t="s">
        <v>1075</v>
      </c>
      <c r="G201" t="s">
        <v>307</v>
      </c>
      <c r="H201" t="s">
        <v>1076</v>
      </c>
      <c r="I201" t="s">
        <v>1077</v>
      </c>
      <c r="J201" t="s">
        <v>749</v>
      </c>
      <c r="K201" t="s">
        <v>1078</v>
      </c>
      <c r="L201" t="s">
        <v>1071</v>
      </c>
      <c r="M201" t="s">
        <v>97</v>
      </c>
      <c r="N201" t="s">
        <v>97</v>
      </c>
      <c r="O201" t="s">
        <v>939</v>
      </c>
      <c r="P201" t="s">
        <v>940</v>
      </c>
      <c r="Q201" s="5">
        <v>2</v>
      </c>
      <c r="R201" s="6">
        <v>56</v>
      </c>
      <c r="S201" s="6">
        <v>112</v>
      </c>
      <c r="T201" s="6">
        <v>40.479999999999997</v>
      </c>
      <c r="U201" s="3">
        <v>46333.25</v>
      </c>
      <c r="W201" t="s">
        <v>1079</v>
      </c>
      <c r="X201" t="s">
        <v>70</v>
      </c>
      <c r="Y201" t="s">
        <v>68</v>
      </c>
      <c r="Z201" t="s">
        <v>69</v>
      </c>
      <c r="AA201" t="s">
        <v>69</v>
      </c>
      <c r="AB201" t="s">
        <v>67</v>
      </c>
      <c r="AC201" t="s">
        <v>70</v>
      </c>
      <c r="AD201" t="s">
        <v>101</v>
      </c>
      <c r="AE201" t="s">
        <v>220</v>
      </c>
      <c r="AF201" t="s">
        <v>67</v>
      </c>
      <c r="AG201" t="s">
        <v>941</v>
      </c>
      <c r="AH201" t="b">
        <v>0</v>
      </c>
      <c r="AI201" t="b">
        <v>0</v>
      </c>
      <c r="AJ201" t="b">
        <v>0</v>
      </c>
      <c r="AK201" t="b">
        <v>0</v>
      </c>
      <c r="AL201" s="6">
        <v>20.239999999999998</v>
      </c>
      <c r="AM201" s="3">
        <v>46333.25</v>
      </c>
      <c r="AN201">
        <v>1</v>
      </c>
      <c r="AO201" s="3"/>
      <c r="AT201" t="b">
        <v>0</v>
      </c>
      <c r="AU201" t="s">
        <v>74</v>
      </c>
      <c r="AV201" t="b">
        <v>1</v>
      </c>
      <c r="AW201" t="b">
        <v>0</v>
      </c>
      <c r="AX201" s="5">
        <v>0</v>
      </c>
      <c r="AY201" s="3"/>
      <c r="AZ201" t="s">
        <v>67</v>
      </c>
      <c r="BA201" t="s">
        <v>67</v>
      </c>
      <c r="BB201" t="s">
        <v>317</v>
      </c>
    </row>
    <row r="202" spans="1:54" x14ac:dyDescent="0.3">
      <c r="A202">
        <v>1</v>
      </c>
      <c r="B202">
        <v>15</v>
      </c>
      <c r="C202" t="s">
        <v>54</v>
      </c>
      <c r="D202" s="3">
        <v>46122.414375</v>
      </c>
      <c r="E202" s="8">
        <v>46274</v>
      </c>
      <c r="F202" t="s">
        <v>1075</v>
      </c>
      <c r="G202" t="s">
        <v>307</v>
      </c>
      <c r="H202" t="s">
        <v>1076</v>
      </c>
      <c r="I202" t="s">
        <v>1077</v>
      </c>
      <c r="J202" t="s">
        <v>749</v>
      </c>
      <c r="K202" t="s">
        <v>1078</v>
      </c>
      <c r="L202" t="s">
        <v>1071</v>
      </c>
      <c r="M202" t="s">
        <v>97</v>
      </c>
      <c r="N202" t="s">
        <v>97</v>
      </c>
      <c r="O202" t="s">
        <v>1091</v>
      </c>
      <c r="P202" t="s">
        <v>1092</v>
      </c>
      <c r="Q202" s="5">
        <v>2</v>
      </c>
      <c r="R202" s="6">
        <v>61</v>
      </c>
      <c r="S202" s="6">
        <v>122</v>
      </c>
      <c r="T202" s="6">
        <v>44.16</v>
      </c>
      <c r="U202" s="3">
        <v>46333.25</v>
      </c>
      <c r="W202" t="s">
        <v>1079</v>
      </c>
      <c r="X202" t="s">
        <v>70</v>
      </c>
      <c r="Y202" t="s">
        <v>68</v>
      </c>
      <c r="Z202" t="s">
        <v>69</v>
      </c>
      <c r="AA202" t="s">
        <v>69</v>
      </c>
      <c r="AB202" t="s">
        <v>67</v>
      </c>
      <c r="AC202" t="s">
        <v>70</v>
      </c>
      <c r="AD202" t="s">
        <v>101</v>
      </c>
      <c r="AE202" t="s">
        <v>220</v>
      </c>
      <c r="AF202" t="s">
        <v>67</v>
      </c>
      <c r="AG202" t="s">
        <v>1093</v>
      </c>
      <c r="AH202" t="b">
        <v>0</v>
      </c>
      <c r="AI202" t="b">
        <v>0</v>
      </c>
      <c r="AJ202" t="b">
        <v>0</v>
      </c>
      <c r="AK202" t="b">
        <v>0</v>
      </c>
      <c r="AL202" s="6">
        <v>22.08</v>
      </c>
      <c r="AM202" s="3">
        <v>46333.25</v>
      </c>
      <c r="AN202">
        <v>1</v>
      </c>
      <c r="AO202" s="3"/>
      <c r="AT202" t="b">
        <v>0</v>
      </c>
      <c r="AU202" t="s">
        <v>74</v>
      </c>
      <c r="AV202" t="b">
        <v>1</v>
      </c>
      <c r="AW202" t="b">
        <v>0</v>
      </c>
      <c r="AX202" s="5">
        <v>0</v>
      </c>
      <c r="AY202" s="3"/>
      <c r="AZ202" t="s">
        <v>67</v>
      </c>
      <c r="BA202" t="s">
        <v>67</v>
      </c>
      <c r="BB202" t="s">
        <v>317</v>
      </c>
    </row>
    <row r="203" spans="1:54" x14ac:dyDescent="0.3">
      <c r="A203">
        <v>1</v>
      </c>
      <c r="B203">
        <v>15</v>
      </c>
      <c r="C203" t="s">
        <v>54</v>
      </c>
      <c r="D203" s="3">
        <v>46122.414375</v>
      </c>
      <c r="E203" s="8">
        <v>46274</v>
      </c>
      <c r="F203" t="s">
        <v>1075</v>
      </c>
      <c r="G203" t="s">
        <v>307</v>
      </c>
      <c r="H203" t="s">
        <v>1076</v>
      </c>
      <c r="I203" t="s">
        <v>1077</v>
      </c>
      <c r="J203" t="s">
        <v>749</v>
      </c>
      <c r="K203" t="s">
        <v>1078</v>
      </c>
      <c r="L203" t="s">
        <v>1071</v>
      </c>
      <c r="M203" t="s">
        <v>97</v>
      </c>
      <c r="N203" t="s">
        <v>97</v>
      </c>
      <c r="O203" t="s">
        <v>1094</v>
      </c>
      <c r="P203" t="s">
        <v>1095</v>
      </c>
      <c r="Q203" s="5">
        <v>1</v>
      </c>
      <c r="R203" s="6">
        <v>61</v>
      </c>
      <c r="S203" s="6">
        <v>61</v>
      </c>
      <c r="T203" s="6">
        <v>22.08</v>
      </c>
      <c r="U203" s="3">
        <v>46333.25</v>
      </c>
      <c r="W203" t="s">
        <v>1079</v>
      </c>
      <c r="X203" t="s">
        <v>70</v>
      </c>
      <c r="Y203" t="s">
        <v>68</v>
      </c>
      <c r="Z203" t="s">
        <v>69</v>
      </c>
      <c r="AA203" t="s">
        <v>69</v>
      </c>
      <c r="AB203" t="s">
        <v>67</v>
      </c>
      <c r="AC203" t="s">
        <v>70</v>
      </c>
      <c r="AD203" t="s">
        <v>101</v>
      </c>
      <c r="AE203" t="s">
        <v>220</v>
      </c>
      <c r="AF203" t="s">
        <v>67</v>
      </c>
      <c r="AG203" t="s">
        <v>1096</v>
      </c>
      <c r="AH203" t="b">
        <v>0</v>
      </c>
      <c r="AI203" t="b">
        <v>0</v>
      </c>
      <c r="AJ203" t="b">
        <v>0</v>
      </c>
      <c r="AK203" t="b">
        <v>0</v>
      </c>
      <c r="AL203" s="6">
        <v>22.08</v>
      </c>
      <c r="AM203" s="3">
        <v>46333.25</v>
      </c>
      <c r="AN203">
        <v>1</v>
      </c>
      <c r="AO203" s="3"/>
      <c r="AT203" t="b">
        <v>0</v>
      </c>
      <c r="AU203" t="s">
        <v>74</v>
      </c>
      <c r="AV203" t="b">
        <v>1</v>
      </c>
      <c r="AW203" t="b">
        <v>0</v>
      </c>
      <c r="AX203" s="5">
        <v>0</v>
      </c>
      <c r="AY203" s="3"/>
      <c r="AZ203" t="s">
        <v>67</v>
      </c>
      <c r="BA203" t="s">
        <v>67</v>
      </c>
      <c r="BB203" t="s">
        <v>317</v>
      </c>
    </row>
    <row r="204" spans="1:54" x14ac:dyDescent="0.3">
      <c r="A204">
        <v>1</v>
      </c>
      <c r="B204">
        <v>15</v>
      </c>
      <c r="C204" t="s">
        <v>54</v>
      </c>
      <c r="D204" s="3">
        <v>46122.427789351852</v>
      </c>
      <c r="E204" s="8">
        <v>46122</v>
      </c>
      <c r="F204" t="s">
        <v>1097</v>
      </c>
      <c r="G204" t="s">
        <v>307</v>
      </c>
      <c r="H204" t="s">
        <v>1098</v>
      </c>
      <c r="I204" t="s">
        <v>1099</v>
      </c>
      <c r="J204" t="s">
        <v>749</v>
      </c>
      <c r="K204" t="s">
        <v>1100</v>
      </c>
      <c r="L204" t="s">
        <v>1071</v>
      </c>
      <c r="M204" t="s">
        <v>97</v>
      </c>
      <c r="N204" t="s">
        <v>97</v>
      </c>
      <c r="O204" t="s">
        <v>1072</v>
      </c>
      <c r="P204" t="s">
        <v>1073</v>
      </c>
      <c r="Q204" s="5">
        <v>2</v>
      </c>
      <c r="R204" s="6">
        <v>727</v>
      </c>
      <c r="S204" s="6">
        <v>1454</v>
      </c>
      <c r="T204" s="6">
        <v>908</v>
      </c>
      <c r="U204" s="3">
        <v>46333.25</v>
      </c>
      <c r="W204" t="s">
        <v>1101</v>
      </c>
      <c r="X204" t="s">
        <v>70</v>
      </c>
      <c r="Y204" t="s">
        <v>23</v>
      </c>
      <c r="Z204" t="s">
        <v>69</v>
      </c>
      <c r="AA204" t="s">
        <v>69</v>
      </c>
      <c r="AB204" t="s">
        <v>67</v>
      </c>
      <c r="AC204" t="s">
        <v>70</v>
      </c>
      <c r="AD204" t="s">
        <v>101</v>
      </c>
      <c r="AE204" t="s">
        <v>102</v>
      </c>
      <c r="AF204" t="s">
        <v>67</v>
      </c>
      <c r="AH204" t="b">
        <v>0</v>
      </c>
      <c r="AI204" t="b">
        <v>0</v>
      </c>
      <c r="AJ204" t="b">
        <v>0</v>
      </c>
      <c r="AK204" t="b">
        <v>0</v>
      </c>
      <c r="AL204" s="6">
        <v>454</v>
      </c>
      <c r="AM204" s="3">
        <v>46333.25</v>
      </c>
      <c r="AN204">
        <v>1</v>
      </c>
      <c r="AO204" s="3"/>
      <c r="AP204" t="s">
        <v>112</v>
      </c>
      <c r="AQ204" t="s">
        <v>112</v>
      </c>
      <c r="AR204" t="s">
        <v>203</v>
      </c>
      <c r="AS204">
        <v>1</v>
      </c>
      <c r="AT204" t="b">
        <v>0</v>
      </c>
      <c r="AU204" t="s">
        <v>114</v>
      </c>
      <c r="AV204" t="b">
        <v>1</v>
      </c>
      <c r="AW204" t="b">
        <v>0</v>
      </c>
      <c r="AX204" s="5">
        <v>0</v>
      </c>
      <c r="AY204" s="3"/>
      <c r="AZ204" t="s">
        <v>67</v>
      </c>
      <c r="BA204" t="s">
        <v>67</v>
      </c>
      <c r="BB204" t="s">
        <v>997</v>
      </c>
    </row>
    <row r="205" spans="1:54" x14ac:dyDescent="0.3">
      <c r="A205">
        <v>1</v>
      </c>
      <c r="B205">
        <v>15</v>
      </c>
      <c r="C205" t="s">
        <v>54</v>
      </c>
      <c r="D205" s="3">
        <v>46122.427789351852</v>
      </c>
      <c r="E205" s="8">
        <v>46122</v>
      </c>
      <c r="F205" t="s">
        <v>1097</v>
      </c>
      <c r="G205" t="s">
        <v>307</v>
      </c>
      <c r="H205" t="s">
        <v>1098</v>
      </c>
      <c r="I205" t="s">
        <v>1099</v>
      </c>
      <c r="J205" t="s">
        <v>749</v>
      </c>
      <c r="K205" t="s">
        <v>1100</v>
      </c>
      <c r="L205" t="s">
        <v>1071</v>
      </c>
      <c r="M205" t="s">
        <v>97</v>
      </c>
      <c r="N205" t="s">
        <v>97</v>
      </c>
      <c r="O205" t="s">
        <v>1047</v>
      </c>
      <c r="P205" t="s">
        <v>1048</v>
      </c>
      <c r="Q205" s="5">
        <v>1</v>
      </c>
      <c r="R205" s="6">
        <v>320</v>
      </c>
      <c r="S205" s="6">
        <v>320</v>
      </c>
      <c r="T205" s="6">
        <v>200</v>
      </c>
      <c r="U205" s="3">
        <v>46333.25</v>
      </c>
      <c r="W205" t="s">
        <v>1101</v>
      </c>
      <c r="X205" t="s">
        <v>70</v>
      </c>
      <c r="Y205" t="s">
        <v>23</v>
      </c>
      <c r="Z205" t="s">
        <v>69</v>
      </c>
      <c r="AA205" t="s">
        <v>69</v>
      </c>
      <c r="AB205" t="s">
        <v>67</v>
      </c>
      <c r="AC205" t="s">
        <v>70</v>
      </c>
      <c r="AD205" t="s">
        <v>101</v>
      </c>
      <c r="AE205" t="s">
        <v>102</v>
      </c>
      <c r="AF205" t="s">
        <v>67</v>
      </c>
      <c r="AH205" t="b">
        <v>0</v>
      </c>
      <c r="AI205" t="b">
        <v>0</v>
      </c>
      <c r="AJ205" t="b">
        <v>0</v>
      </c>
      <c r="AK205" t="b">
        <v>0</v>
      </c>
      <c r="AL205" s="6">
        <v>200</v>
      </c>
      <c r="AM205" s="3">
        <v>46333.25</v>
      </c>
      <c r="AN205">
        <v>1</v>
      </c>
      <c r="AO205" s="3"/>
      <c r="AP205" t="s">
        <v>112</v>
      </c>
      <c r="AQ205" t="s">
        <v>112</v>
      </c>
      <c r="AR205" t="s">
        <v>203</v>
      </c>
      <c r="AS205">
        <v>1</v>
      </c>
      <c r="AT205" t="b">
        <v>0</v>
      </c>
      <c r="AU205" t="s">
        <v>114</v>
      </c>
      <c r="AV205" t="b">
        <v>1</v>
      </c>
      <c r="AW205" t="b">
        <v>0</v>
      </c>
      <c r="AX205" s="5">
        <v>0</v>
      </c>
      <c r="AY205" s="3"/>
      <c r="AZ205" t="s">
        <v>67</v>
      </c>
      <c r="BA205" t="s">
        <v>67</v>
      </c>
      <c r="BB205" t="s">
        <v>997</v>
      </c>
    </row>
    <row r="206" spans="1:54" x14ac:dyDescent="0.3">
      <c r="A206">
        <v>1</v>
      </c>
      <c r="B206">
        <v>15</v>
      </c>
      <c r="C206" t="s">
        <v>54</v>
      </c>
      <c r="D206" s="3">
        <v>46122.427789351852</v>
      </c>
      <c r="E206" s="8">
        <v>46122</v>
      </c>
      <c r="F206" t="s">
        <v>1097</v>
      </c>
      <c r="G206" t="s">
        <v>307</v>
      </c>
      <c r="H206" t="s">
        <v>1098</v>
      </c>
      <c r="I206" t="s">
        <v>1099</v>
      </c>
      <c r="J206" t="s">
        <v>749</v>
      </c>
      <c r="K206" t="s">
        <v>1100</v>
      </c>
      <c r="L206" t="s">
        <v>1071</v>
      </c>
      <c r="M206" t="s">
        <v>97</v>
      </c>
      <c r="N206" t="s">
        <v>97</v>
      </c>
      <c r="O206" t="s">
        <v>752</v>
      </c>
      <c r="P206" t="s">
        <v>753</v>
      </c>
      <c r="Q206" s="5">
        <v>2</v>
      </c>
      <c r="R206" s="6">
        <v>80</v>
      </c>
      <c r="S206" s="6">
        <v>160</v>
      </c>
      <c r="T206" s="6">
        <v>0</v>
      </c>
      <c r="U206" s="3">
        <v>46333.25</v>
      </c>
      <c r="W206" t="s">
        <v>1101</v>
      </c>
      <c r="X206" t="s">
        <v>70</v>
      </c>
      <c r="Y206" t="s">
        <v>23</v>
      </c>
      <c r="Z206" t="s">
        <v>69</v>
      </c>
      <c r="AA206" t="s">
        <v>69</v>
      </c>
      <c r="AB206" t="s">
        <v>67</v>
      </c>
      <c r="AC206" t="s">
        <v>70</v>
      </c>
      <c r="AD206" t="s">
        <v>101</v>
      </c>
      <c r="AE206" t="s">
        <v>102</v>
      </c>
      <c r="AF206" t="s">
        <v>67</v>
      </c>
      <c r="AG206" t="s">
        <v>752</v>
      </c>
      <c r="AH206" t="b">
        <v>0</v>
      </c>
      <c r="AI206" t="b">
        <v>0</v>
      </c>
      <c r="AJ206" t="b">
        <v>0</v>
      </c>
      <c r="AK206" t="b">
        <v>0</v>
      </c>
      <c r="AL206" s="6">
        <v>0</v>
      </c>
      <c r="AM206" s="3">
        <v>46333.25</v>
      </c>
      <c r="AN206">
        <v>1</v>
      </c>
      <c r="AO206" s="3"/>
      <c r="AP206" t="s">
        <v>112</v>
      </c>
      <c r="AQ206" t="s">
        <v>112</v>
      </c>
      <c r="AR206" t="s">
        <v>203</v>
      </c>
      <c r="AS206">
        <v>1</v>
      </c>
      <c r="AT206" t="b">
        <v>0</v>
      </c>
      <c r="AU206" t="s">
        <v>114</v>
      </c>
      <c r="AV206" t="b">
        <v>1</v>
      </c>
      <c r="AW206" t="b">
        <v>0</v>
      </c>
      <c r="AX206" s="5">
        <v>0</v>
      </c>
      <c r="AY206" s="3"/>
      <c r="AZ206" t="s">
        <v>67</v>
      </c>
      <c r="BA206" t="s">
        <v>67</v>
      </c>
      <c r="BB206" t="s">
        <v>997</v>
      </c>
    </row>
    <row r="207" spans="1:54" x14ac:dyDescent="0.3">
      <c r="A207">
        <v>1</v>
      </c>
      <c r="B207">
        <v>15</v>
      </c>
      <c r="C207" t="s">
        <v>54</v>
      </c>
      <c r="D207" s="3">
        <v>46122.446469907409</v>
      </c>
      <c r="E207" s="8">
        <v>46128</v>
      </c>
      <c r="F207" t="s">
        <v>1102</v>
      </c>
      <c r="G207" t="s">
        <v>307</v>
      </c>
      <c r="H207" t="s">
        <v>1103</v>
      </c>
      <c r="I207" t="s">
        <v>1104</v>
      </c>
      <c r="J207" t="s">
        <v>749</v>
      </c>
      <c r="K207" t="s">
        <v>1105</v>
      </c>
      <c r="L207" t="s">
        <v>1071</v>
      </c>
      <c r="M207" t="s">
        <v>97</v>
      </c>
      <c r="N207" t="s">
        <v>97</v>
      </c>
      <c r="O207" t="s">
        <v>1106</v>
      </c>
      <c r="P207" t="s">
        <v>1107</v>
      </c>
      <c r="Q207" s="5">
        <v>2</v>
      </c>
      <c r="R207" s="6">
        <v>1108</v>
      </c>
      <c r="S207" s="6">
        <v>2216</v>
      </c>
      <c r="T207" s="6">
        <v>1384</v>
      </c>
      <c r="U207" s="3">
        <v>46297.458333333343</v>
      </c>
      <c r="W207" t="s">
        <v>1108</v>
      </c>
      <c r="X207" t="s">
        <v>70</v>
      </c>
      <c r="Y207" t="s">
        <v>23</v>
      </c>
      <c r="Z207" t="s">
        <v>69</v>
      </c>
      <c r="AA207" t="s">
        <v>69</v>
      </c>
      <c r="AB207" t="s">
        <v>67</v>
      </c>
      <c r="AC207" t="s">
        <v>70</v>
      </c>
      <c r="AD207" t="s">
        <v>101</v>
      </c>
      <c r="AE207" t="s">
        <v>102</v>
      </c>
      <c r="AF207" t="s">
        <v>67</v>
      </c>
      <c r="AH207" t="b">
        <v>0</v>
      </c>
      <c r="AI207" t="b">
        <v>0</v>
      </c>
      <c r="AJ207" t="b">
        <v>0</v>
      </c>
      <c r="AK207" t="b">
        <v>0</v>
      </c>
      <c r="AL207" s="6">
        <v>692</v>
      </c>
      <c r="AM207" s="3">
        <v>46297.458333333343</v>
      </c>
      <c r="AN207">
        <v>1</v>
      </c>
      <c r="AO207" s="3">
        <v>46237.335115740738</v>
      </c>
      <c r="AP207" t="s">
        <v>1109</v>
      </c>
      <c r="AQ207" t="s">
        <v>1110</v>
      </c>
      <c r="AR207" t="s">
        <v>203</v>
      </c>
      <c r="AS207">
        <v>2</v>
      </c>
      <c r="AT207" t="b">
        <v>1</v>
      </c>
      <c r="AU207" t="s">
        <v>285</v>
      </c>
      <c r="AV207" t="b">
        <v>1</v>
      </c>
      <c r="AW207" t="b">
        <v>0</v>
      </c>
      <c r="AX207" s="5">
        <v>0</v>
      </c>
      <c r="AY207" s="3"/>
      <c r="AZ207" t="s">
        <v>67</v>
      </c>
      <c r="BA207" t="s">
        <v>67</v>
      </c>
      <c r="BB207" t="s">
        <v>997</v>
      </c>
    </row>
    <row r="208" spans="1:54" x14ac:dyDescent="0.3">
      <c r="A208">
        <v>1</v>
      </c>
      <c r="B208">
        <v>15</v>
      </c>
      <c r="C208" t="s">
        <v>54</v>
      </c>
      <c r="D208" s="3">
        <v>46122.446469907409</v>
      </c>
      <c r="E208" s="8">
        <v>46128</v>
      </c>
      <c r="F208" t="s">
        <v>1102</v>
      </c>
      <c r="G208" t="s">
        <v>307</v>
      </c>
      <c r="H208" t="s">
        <v>1103</v>
      </c>
      <c r="I208" t="s">
        <v>1104</v>
      </c>
      <c r="J208" t="s">
        <v>749</v>
      </c>
      <c r="K208" t="s">
        <v>1105</v>
      </c>
      <c r="L208" t="s">
        <v>1071</v>
      </c>
      <c r="M208" t="s">
        <v>97</v>
      </c>
      <c r="N208" t="s">
        <v>97</v>
      </c>
      <c r="O208" t="s">
        <v>752</v>
      </c>
      <c r="P208" t="s">
        <v>753</v>
      </c>
      <c r="Q208" s="5">
        <v>3</v>
      </c>
      <c r="R208" s="6">
        <v>80</v>
      </c>
      <c r="S208" s="6">
        <v>240</v>
      </c>
      <c r="T208" s="6">
        <v>0</v>
      </c>
      <c r="U208" s="3">
        <v>46297.458333333343</v>
      </c>
      <c r="W208" t="s">
        <v>1108</v>
      </c>
      <c r="X208" t="s">
        <v>70</v>
      </c>
      <c r="Y208" t="s">
        <v>23</v>
      </c>
      <c r="Z208" t="s">
        <v>69</v>
      </c>
      <c r="AA208" t="s">
        <v>69</v>
      </c>
      <c r="AB208" t="s">
        <v>67</v>
      </c>
      <c r="AC208" t="s">
        <v>70</v>
      </c>
      <c r="AD208" t="s">
        <v>101</v>
      </c>
      <c r="AE208" t="s">
        <v>102</v>
      </c>
      <c r="AF208" t="s">
        <v>67</v>
      </c>
      <c r="AG208" t="s">
        <v>752</v>
      </c>
      <c r="AH208" t="b">
        <v>0</v>
      </c>
      <c r="AI208" t="b">
        <v>0</v>
      </c>
      <c r="AJ208" t="b">
        <v>0</v>
      </c>
      <c r="AK208" t="b">
        <v>0</v>
      </c>
      <c r="AL208" s="6">
        <v>0</v>
      </c>
      <c r="AM208" s="3">
        <v>46297.458333333343</v>
      </c>
      <c r="AN208">
        <v>1</v>
      </c>
      <c r="AO208" s="3">
        <v>46237.335115740738</v>
      </c>
      <c r="AP208" t="s">
        <v>1109</v>
      </c>
      <c r="AQ208" t="s">
        <v>1110</v>
      </c>
      <c r="AR208" t="s">
        <v>203</v>
      </c>
      <c r="AS208">
        <v>2</v>
      </c>
      <c r="AT208" t="b">
        <v>1</v>
      </c>
      <c r="AU208" t="s">
        <v>285</v>
      </c>
      <c r="AV208" t="b">
        <v>1</v>
      </c>
      <c r="AW208" t="b">
        <v>0</v>
      </c>
      <c r="AX208" s="5">
        <v>0</v>
      </c>
      <c r="AY208" s="3"/>
      <c r="AZ208" t="s">
        <v>67</v>
      </c>
      <c r="BA208" t="s">
        <v>67</v>
      </c>
      <c r="BB208" t="s">
        <v>997</v>
      </c>
    </row>
    <row r="209" spans="1:54" x14ac:dyDescent="0.3">
      <c r="A209">
        <v>1</v>
      </c>
      <c r="B209">
        <v>15</v>
      </c>
      <c r="C209" t="s">
        <v>54</v>
      </c>
      <c r="D209" s="3">
        <v>46122.607303240737</v>
      </c>
      <c r="E209" s="8">
        <v>46128</v>
      </c>
      <c r="F209" t="s">
        <v>1111</v>
      </c>
      <c r="G209" t="s">
        <v>307</v>
      </c>
      <c r="H209" t="s">
        <v>1112</v>
      </c>
      <c r="I209" t="s">
        <v>1113</v>
      </c>
      <c r="J209" t="s">
        <v>749</v>
      </c>
      <c r="K209" t="s">
        <v>1105</v>
      </c>
      <c r="L209" t="s">
        <v>1071</v>
      </c>
      <c r="M209" t="s">
        <v>97</v>
      </c>
      <c r="N209" t="s">
        <v>97</v>
      </c>
      <c r="O209" t="s">
        <v>1114</v>
      </c>
      <c r="P209" t="s">
        <v>1115</v>
      </c>
      <c r="Q209" s="5">
        <v>1</v>
      </c>
      <c r="R209" s="6">
        <v>727</v>
      </c>
      <c r="S209" s="6">
        <v>727</v>
      </c>
      <c r="T209" s="6">
        <v>454</v>
      </c>
      <c r="U209" s="3">
        <v>46150.333333333343</v>
      </c>
      <c r="W209" t="s">
        <v>1116</v>
      </c>
      <c r="X209" t="s">
        <v>70</v>
      </c>
      <c r="Y209" t="s">
        <v>23</v>
      </c>
      <c r="Z209" t="s">
        <v>1117</v>
      </c>
      <c r="AA209" t="s">
        <v>522</v>
      </c>
      <c r="AB209" t="s">
        <v>67</v>
      </c>
      <c r="AC209" t="s">
        <v>70</v>
      </c>
      <c r="AD209" t="s">
        <v>101</v>
      </c>
      <c r="AF209" t="s">
        <v>67</v>
      </c>
      <c r="AH209" t="b">
        <v>0</v>
      </c>
      <c r="AI209" t="b">
        <v>0</v>
      </c>
      <c r="AJ209" t="b">
        <v>0</v>
      </c>
      <c r="AK209" t="b">
        <v>0</v>
      </c>
      <c r="AL209" s="6">
        <v>454</v>
      </c>
      <c r="AM209" s="3">
        <v>46150.333333333343</v>
      </c>
      <c r="AN209">
        <v>1</v>
      </c>
      <c r="AO209" s="3"/>
      <c r="AT209" t="b">
        <v>0</v>
      </c>
      <c r="AU209" t="s">
        <v>74</v>
      </c>
      <c r="AV209" t="b">
        <v>1</v>
      </c>
      <c r="AW209" t="b">
        <v>0</v>
      </c>
      <c r="AX209" s="5">
        <v>0</v>
      </c>
      <c r="AY209" s="3"/>
      <c r="AZ209" t="s">
        <v>67</v>
      </c>
      <c r="BA209" t="s">
        <v>67</v>
      </c>
      <c r="BB209" t="s">
        <v>317</v>
      </c>
    </row>
    <row r="210" spans="1:54" x14ac:dyDescent="0.3">
      <c r="A210">
        <v>1</v>
      </c>
      <c r="B210">
        <v>15</v>
      </c>
      <c r="C210" t="s">
        <v>54</v>
      </c>
      <c r="D210" s="3">
        <v>46122.607303240737</v>
      </c>
      <c r="E210" s="8">
        <v>46128</v>
      </c>
      <c r="F210" t="s">
        <v>1111</v>
      </c>
      <c r="G210" t="s">
        <v>307</v>
      </c>
      <c r="H210" t="s">
        <v>1112</v>
      </c>
      <c r="I210" t="s">
        <v>1113</v>
      </c>
      <c r="J210" t="s">
        <v>749</v>
      </c>
      <c r="K210" t="s">
        <v>1105</v>
      </c>
      <c r="L210" t="s">
        <v>1071</v>
      </c>
      <c r="M210" t="s">
        <v>97</v>
      </c>
      <c r="N210" t="s">
        <v>97</v>
      </c>
      <c r="O210" t="s">
        <v>752</v>
      </c>
      <c r="P210" t="s">
        <v>753</v>
      </c>
      <c r="Q210" s="5">
        <v>1</v>
      </c>
      <c r="R210" s="6">
        <v>80</v>
      </c>
      <c r="S210" s="6">
        <v>80</v>
      </c>
      <c r="T210" s="6">
        <v>0</v>
      </c>
      <c r="U210" s="3">
        <v>46150.333333333343</v>
      </c>
      <c r="W210" t="s">
        <v>1116</v>
      </c>
      <c r="X210" t="s">
        <v>70</v>
      </c>
      <c r="Y210" t="s">
        <v>23</v>
      </c>
      <c r="Z210" t="s">
        <v>1117</v>
      </c>
      <c r="AA210" t="s">
        <v>522</v>
      </c>
      <c r="AB210" t="s">
        <v>67</v>
      </c>
      <c r="AC210" t="s">
        <v>70</v>
      </c>
      <c r="AD210" t="s">
        <v>101</v>
      </c>
      <c r="AE210" t="s">
        <v>102</v>
      </c>
      <c r="AF210" t="s">
        <v>67</v>
      </c>
      <c r="AG210" t="s">
        <v>752</v>
      </c>
      <c r="AH210" t="b">
        <v>0</v>
      </c>
      <c r="AI210" t="b">
        <v>0</v>
      </c>
      <c r="AJ210" t="b">
        <v>0</v>
      </c>
      <c r="AK210" t="b">
        <v>0</v>
      </c>
      <c r="AL210" s="6">
        <v>0</v>
      </c>
      <c r="AM210" s="3">
        <v>46150.333333333343</v>
      </c>
      <c r="AN210">
        <v>1</v>
      </c>
      <c r="AO210" s="3"/>
      <c r="AT210" t="b">
        <v>0</v>
      </c>
      <c r="AU210" t="s">
        <v>74</v>
      </c>
      <c r="AV210" t="b">
        <v>1</v>
      </c>
      <c r="AW210" t="b">
        <v>0</v>
      </c>
      <c r="AX210" s="5">
        <v>0</v>
      </c>
      <c r="AY210" s="3"/>
      <c r="AZ210" t="s">
        <v>67</v>
      </c>
      <c r="BA210" t="s">
        <v>67</v>
      </c>
      <c r="BB210" t="s">
        <v>317</v>
      </c>
    </row>
    <row r="211" spans="1:54" x14ac:dyDescent="0.3">
      <c r="A211">
        <v>1</v>
      </c>
      <c r="B211">
        <v>15</v>
      </c>
      <c r="C211" t="s">
        <v>54</v>
      </c>
      <c r="D211" s="3">
        <v>46122.607303240737</v>
      </c>
      <c r="E211" s="8">
        <v>46128</v>
      </c>
      <c r="F211" t="s">
        <v>1111</v>
      </c>
      <c r="G211" t="s">
        <v>307</v>
      </c>
      <c r="H211" t="s">
        <v>1112</v>
      </c>
      <c r="I211" t="s">
        <v>1113</v>
      </c>
      <c r="J211" t="s">
        <v>749</v>
      </c>
      <c r="K211" t="s">
        <v>1105</v>
      </c>
      <c r="L211" t="s">
        <v>1071</v>
      </c>
      <c r="M211" t="s">
        <v>97</v>
      </c>
      <c r="N211" t="s">
        <v>97</v>
      </c>
      <c r="O211" t="s">
        <v>286</v>
      </c>
      <c r="P211" t="s">
        <v>287</v>
      </c>
      <c r="Q211" s="5">
        <v>1</v>
      </c>
      <c r="R211" s="6">
        <v>55</v>
      </c>
      <c r="S211" s="6">
        <v>55</v>
      </c>
      <c r="T211" s="6">
        <v>19.8</v>
      </c>
      <c r="U211" s="3">
        <v>46150.333333333343</v>
      </c>
      <c r="W211" t="s">
        <v>1116</v>
      </c>
      <c r="X211" t="s">
        <v>70</v>
      </c>
      <c r="Y211" t="s">
        <v>68</v>
      </c>
      <c r="Z211" t="s">
        <v>1117</v>
      </c>
      <c r="AA211" t="s">
        <v>522</v>
      </c>
      <c r="AB211" t="s">
        <v>67</v>
      </c>
      <c r="AC211" t="s">
        <v>70</v>
      </c>
      <c r="AD211" t="s">
        <v>101</v>
      </c>
      <c r="AE211" t="s">
        <v>77</v>
      </c>
      <c r="AF211" t="s">
        <v>67</v>
      </c>
      <c r="AG211" t="s">
        <v>288</v>
      </c>
      <c r="AH211" t="b">
        <v>0</v>
      </c>
      <c r="AI211" t="b">
        <v>0</v>
      </c>
      <c r="AJ211" t="b">
        <v>0</v>
      </c>
      <c r="AK211" t="b">
        <v>0</v>
      </c>
      <c r="AL211" s="6">
        <v>19.8</v>
      </c>
      <c r="AM211" s="3">
        <v>46150.333333333343</v>
      </c>
      <c r="AN211">
        <v>1</v>
      </c>
      <c r="AO211" s="3"/>
      <c r="AT211" t="b">
        <v>0</v>
      </c>
      <c r="AU211" t="s">
        <v>74</v>
      </c>
      <c r="AV211" t="b">
        <v>1</v>
      </c>
      <c r="AW211" t="b">
        <v>0</v>
      </c>
      <c r="AX211" s="5">
        <v>0</v>
      </c>
      <c r="AY211" s="3"/>
      <c r="AZ211" t="s">
        <v>67</v>
      </c>
      <c r="BA211" t="s">
        <v>67</v>
      </c>
      <c r="BB211" t="s">
        <v>317</v>
      </c>
    </row>
    <row r="212" spans="1:54" x14ac:dyDescent="0.3">
      <c r="A212">
        <v>1</v>
      </c>
      <c r="B212">
        <v>15</v>
      </c>
      <c r="C212" t="s">
        <v>54</v>
      </c>
      <c r="D212" s="3">
        <v>46122.607303240737</v>
      </c>
      <c r="E212" s="8">
        <v>46128</v>
      </c>
      <c r="F212" t="s">
        <v>1111</v>
      </c>
      <c r="G212" t="s">
        <v>307</v>
      </c>
      <c r="H212" t="s">
        <v>1112</v>
      </c>
      <c r="I212" t="s">
        <v>1113</v>
      </c>
      <c r="J212" t="s">
        <v>749</v>
      </c>
      <c r="K212" t="s">
        <v>1105</v>
      </c>
      <c r="L212" t="s">
        <v>1071</v>
      </c>
      <c r="M212" t="s">
        <v>97</v>
      </c>
      <c r="N212" t="s">
        <v>97</v>
      </c>
      <c r="O212" t="s">
        <v>1118</v>
      </c>
      <c r="P212" t="s">
        <v>1119</v>
      </c>
      <c r="Q212" s="5">
        <v>1</v>
      </c>
      <c r="R212" s="6">
        <v>90</v>
      </c>
      <c r="S212" s="6">
        <v>90</v>
      </c>
      <c r="T212" s="6">
        <v>32.4</v>
      </c>
      <c r="U212" s="3">
        <v>46150.333333333343</v>
      </c>
      <c r="W212" t="s">
        <v>1116</v>
      </c>
      <c r="X212" t="s">
        <v>70</v>
      </c>
      <c r="Y212" t="s">
        <v>68</v>
      </c>
      <c r="Z212" t="s">
        <v>1117</v>
      </c>
      <c r="AA212" t="s">
        <v>522</v>
      </c>
      <c r="AB212" t="s">
        <v>67</v>
      </c>
      <c r="AC212" t="s">
        <v>70</v>
      </c>
      <c r="AD212" t="s">
        <v>101</v>
      </c>
      <c r="AE212" t="s">
        <v>77</v>
      </c>
      <c r="AF212" t="s">
        <v>67</v>
      </c>
      <c r="AG212" t="s">
        <v>1120</v>
      </c>
      <c r="AH212" t="b">
        <v>0</v>
      </c>
      <c r="AI212" t="b">
        <v>0</v>
      </c>
      <c r="AJ212" t="b">
        <v>0</v>
      </c>
      <c r="AK212" t="b">
        <v>0</v>
      </c>
      <c r="AL212" s="6">
        <v>32.4</v>
      </c>
      <c r="AM212" s="3">
        <v>46150.333333333343</v>
      </c>
      <c r="AN212">
        <v>1</v>
      </c>
      <c r="AO212" s="3"/>
      <c r="AT212" t="b">
        <v>0</v>
      </c>
      <c r="AU212" t="s">
        <v>74</v>
      </c>
      <c r="AV212" t="b">
        <v>1</v>
      </c>
      <c r="AW212" t="b">
        <v>0</v>
      </c>
      <c r="AX212" s="5">
        <v>0</v>
      </c>
      <c r="AY212" s="3"/>
      <c r="AZ212" t="s">
        <v>67</v>
      </c>
      <c r="BA212" t="s">
        <v>67</v>
      </c>
      <c r="BB212" t="s">
        <v>317</v>
      </c>
    </row>
    <row r="213" spans="1:54" x14ac:dyDescent="0.3">
      <c r="A213">
        <v>1</v>
      </c>
      <c r="B213">
        <v>15</v>
      </c>
      <c r="C213" t="s">
        <v>54</v>
      </c>
      <c r="D213" s="3">
        <v>46122.607303240737</v>
      </c>
      <c r="E213" s="8">
        <v>46128</v>
      </c>
      <c r="F213" t="s">
        <v>1111</v>
      </c>
      <c r="G213" t="s">
        <v>307</v>
      </c>
      <c r="H213" t="s">
        <v>1112</v>
      </c>
      <c r="I213" t="s">
        <v>1113</v>
      </c>
      <c r="J213" t="s">
        <v>749</v>
      </c>
      <c r="K213" t="s">
        <v>1105</v>
      </c>
      <c r="L213" t="s">
        <v>1071</v>
      </c>
      <c r="M213" t="s">
        <v>97</v>
      </c>
      <c r="N213" t="s">
        <v>97</v>
      </c>
      <c r="O213" t="s">
        <v>1121</v>
      </c>
      <c r="P213" t="s">
        <v>1122</v>
      </c>
      <c r="Q213" s="5">
        <v>1</v>
      </c>
      <c r="R213" s="6">
        <v>78</v>
      </c>
      <c r="S213" s="6">
        <v>78</v>
      </c>
      <c r="T213" s="6">
        <v>28.35</v>
      </c>
      <c r="U213" s="3">
        <v>46150.333333333343</v>
      </c>
      <c r="W213" t="s">
        <v>1116</v>
      </c>
      <c r="X213" t="s">
        <v>70</v>
      </c>
      <c r="Y213" t="s">
        <v>68</v>
      </c>
      <c r="Z213" t="s">
        <v>1117</v>
      </c>
      <c r="AA213" t="s">
        <v>522</v>
      </c>
      <c r="AB213" t="s">
        <v>67</v>
      </c>
      <c r="AC213" t="s">
        <v>70</v>
      </c>
      <c r="AD213" t="s">
        <v>101</v>
      </c>
      <c r="AE213" t="s">
        <v>77</v>
      </c>
      <c r="AF213" t="s">
        <v>67</v>
      </c>
      <c r="AG213" t="s">
        <v>1123</v>
      </c>
      <c r="AH213" t="b">
        <v>0</v>
      </c>
      <c r="AI213" t="b">
        <v>0</v>
      </c>
      <c r="AJ213" t="b">
        <v>0</v>
      </c>
      <c r="AK213" t="b">
        <v>0</v>
      </c>
      <c r="AL213" s="6">
        <v>28.35</v>
      </c>
      <c r="AM213" s="3">
        <v>46150.333333333343</v>
      </c>
      <c r="AN213">
        <v>1</v>
      </c>
      <c r="AO213" s="3"/>
      <c r="AT213" t="b">
        <v>0</v>
      </c>
      <c r="AU213" t="s">
        <v>74</v>
      </c>
      <c r="AV213" t="b">
        <v>1</v>
      </c>
      <c r="AW213" t="b">
        <v>0</v>
      </c>
      <c r="AX213" s="5">
        <v>0</v>
      </c>
      <c r="AY213" s="3"/>
      <c r="AZ213" t="s">
        <v>67</v>
      </c>
      <c r="BA213" t="s">
        <v>67</v>
      </c>
      <c r="BB213" t="s">
        <v>317</v>
      </c>
    </row>
    <row r="214" spans="1:54" x14ac:dyDescent="0.3">
      <c r="A214">
        <v>1</v>
      </c>
      <c r="B214">
        <v>15</v>
      </c>
      <c r="C214" t="s">
        <v>54</v>
      </c>
      <c r="D214" s="3">
        <v>46122.607303240737</v>
      </c>
      <c r="E214" s="8">
        <v>46128</v>
      </c>
      <c r="F214" t="s">
        <v>1111</v>
      </c>
      <c r="G214" t="s">
        <v>307</v>
      </c>
      <c r="H214" t="s">
        <v>1112</v>
      </c>
      <c r="I214" t="s">
        <v>1113</v>
      </c>
      <c r="J214" t="s">
        <v>749</v>
      </c>
      <c r="K214" t="s">
        <v>1105</v>
      </c>
      <c r="L214" t="s">
        <v>1071</v>
      </c>
      <c r="M214" t="s">
        <v>97</v>
      </c>
      <c r="N214" t="s">
        <v>97</v>
      </c>
      <c r="O214" t="s">
        <v>1124</v>
      </c>
      <c r="P214" t="s">
        <v>1125</v>
      </c>
      <c r="Q214" s="5">
        <v>1</v>
      </c>
      <c r="R214" s="6">
        <v>149</v>
      </c>
      <c r="S214" s="6">
        <v>149</v>
      </c>
      <c r="T214" s="6">
        <v>54</v>
      </c>
      <c r="U214" s="3">
        <v>46150.333333333343</v>
      </c>
      <c r="W214" t="s">
        <v>1116</v>
      </c>
      <c r="X214" t="s">
        <v>70</v>
      </c>
      <c r="Y214" t="s">
        <v>68</v>
      </c>
      <c r="Z214" t="s">
        <v>1117</v>
      </c>
      <c r="AA214" t="s">
        <v>522</v>
      </c>
      <c r="AB214" t="s">
        <v>67</v>
      </c>
      <c r="AC214" t="s">
        <v>70</v>
      </c>
      <c r="AD214" t="s">
        <v>101</v>
      </c>
      <c r="AE214" t="s">
        <v>77</v>
      </c>
      <c r="AF214" t="s">
        <v>67</v>
      </c>
      <c r="AG214" t="s">
        <v>1126</v>
      </c>
      <c r="AH214" t="b">
        <v>0</v>
      </c>
      <c r="AI214" t="b">
        <v>0</v>
      </c>
      <c r="AJ214" t="b">
        <v>0</v>
      </c>
      <c r="AK214" t="b">
        <v>0</v>
      </c>
      <c r="AL214" s="6">
        <v>54</v>
      </c>
      <c r="AM214" s="3">
        <v>46150.333333333343</v>
      </c>
      <c r="AN214">
        <v>1</v>
      </c>
      <c r="AO214" s="3"/>
      <c r="AT214" t="b">
        <v>0</v>
      </c>
      <c r="AU214" t="s">
        <v>74</v>
      </c>
      <c r="AV214" t="b">
        <v>1</v>
      </c>
      <c r="AW214" t="b">
        <v>0</v>
      </c>
      <c r="AX214" s="5">
        <v>0</v>
      </c>
      <c r="AY214" s="3"/>
      <c r="AZ214" t="s">
        <v>67</v>
      </c>
      <c r="BA214" t="s">
        <v>67</v>
      </c>
      <c r="BB214" t="s">
        <v>317</v>
      </c>
    </row>
    <row r="215" spans="1:54" x14ac:dyDescent="0.3">
      <c r="A215">
        <v>1</v>
      </c>
      <c r="B215">
        <v>15</v>
      </c>
      <c r="C215" t="s">
        <v>54</v>
      </c>
      <c r="D215" s="3">
        <v>46126.361238425918</v>
      </c>
      <c r="E215" s="8">
        <v>46126</v>
      </c>
      <c r="F215" t="s">
        <v>1127</v>
      </c>
      <c r="G215" t="s">
        <v>307</v>
      </c>
      <c r="H215" t="s">
        <v>1128</v>
      </c>
      <c r="I215" t="s">
        <v>1129</v>
      </c>
      <c r="J215" t="s">
        <v>59</v>
      </c>
      <c r="K215" t="s">
        <v>1130</v>
      </c>
      <c r="L215" t="s">
        <v>699</v>
      </c>
      <c r="M215" t="s">
        <v>63</v>
      </c>
      <c r="O215" t="s">
        <v>82</v>
      </c>
      <c r="P215" t="s">
        <v>83</v>
      </c>
      <c r="Q215" s="5">
        <v>1</v>
      </c>
      <c r="R215" s="6">
        <v>140</v>
      </c>
      <c r="S215" s="6">
        <v>140</v>
      </c>
      <c r="T215" s="6">
        <v>93.1</v>
      </c>
      <c r="U215" s="3">
        <v>46300.208333333343</v>
      </c>
      <c r="W215" t="s">
        <v>1131</v>
      </c>
      <c r="X215" t="s">
        <v>67</v>
      </c>
      <c r="Y215" t="s">
        <v>68</v>
      </c>
      <c r="Z215" t="s">
        <v>69</v>
      </c>
      <c r="AA215" t="s">
        <v>69</v>
      </c>
      <c r="AB215" t="s">
        <v>67</v>
      </c>
      <c r="AC215" t="s">
        <v>70</v>
      </c>
      <c r="AD215" t="s">
        <v>71</v>
      </c>
      <c r="AE215" t="s">
        <v>84</v>
      </c>
      <c r="AF215" t="s">
        <v>67</v>
      </c>
      <c r="AG215" t="s">
        <v>82</v>
      </c>
      <c r="AH215" t="b">
        <v>0</v>
      </c>
      <c r="AI215" t="b">
        <v>1</v>
      </c>
      <c r="AJ215" t="b">
        <v>1</v>
      </c>
      <c r="AK215" t="b">
        <v>1</v>
      </c>
      <c r="AL215" s="6">
        <v>93.1</v>
      </c>
      <c r="AM215" s="3">
        <v>46300.208333333343</v>
      </c>
      <c r="AN215">
        <v>1</v>
      </c>
      <c r="AO215" s="3"/>
      <c r="AT215" t="b">
        <v>0</v>
      </c>
      <c r="AU215" t="s">
        <v>74</v>
      </c>
      <c r="AV215" t="b">
        <v>1</v>
      </c>
      <c r="AW215" t="b">
        <v>0</v>
      </c>
      <c r="AX215" s="5">
        <v>0</v>
      </c>
      <c r="AY215" s="3"/>
      <c r="AZ215" t="s">
        <v>67</v>
      </c>
      <c r="BA215" t="s">
        <v>67</v>
      </c>
      <c r="BB215" t="s">
        <v>317</v>
      </c>
    </row>
    <row r="216" spans="1:54" x14ac:dyDescent="0.3">
      <c r="A216">
        <v>1</v>
      </c>
      <c r="B216">
        <v>15</v>
      </c>
      <c r="C216" t="s">
        <v>54</v>
      </c>
      <c r="D216" s="3">
        <v>46126.361238425918</v>
      </c>
      <c r="E216" s="8">
        <v>46126</v>
      </c>
      <c r="F216" t="s">
        <v>1127</v>
      </c>
      <c r="G216" t="s">
        <v>307</v>
      </c>
      <c r="H216" t="s">
        <v>1128</v>
      </c>
      <c r="I216" t="s">
        <v>1129</v>
      </c>
      <c r="J216" t="s">
        <v>59</v>
      </c>
      <c r="K216" t="s">
        <v>1130</v>
      </c>
      <c r="L216" t="s">
        <v>699</v>
      </c>
      <c r="M216" t="s">
        <v>63</v>
      </c>
      <c r="O216" t="s">
        <v>64</v>
      </c>
      <c r="P216" t="s">
        <v>65</v>
      </c>
      <c r="Q216" s="5">
        <v>1</v>
      </c>
      <c r="R216" s="6">
        <v>237</v>
      </c>
      <c r="S216" s="6">
        <v>237</v>
      </c>
      <c r="T216" s="6">
        <v>157.5</v>
      </c>
      <c r="U216" s="3">
        <v>46300.208333333343</v>
      </c>
      <c r="W216" t="s">
        <v>1131</v>
      </c>
      <c r="X216" t="s">
        <v>67</v>
      </c>
      <c r="Y216" t="s">
        <v>68</v>
      </c>
      <c r="Z216" t="s">
        <v>69</v>
      </c>
      <c r="AA216" t="s">
        <v>69</v>
      </c>
      <c r="AB216" t="s">
        <v>67</v>
      </c>
      <c r="AC216" t="s">
        <v>70</v>
      </c>
      <c r="AD216" t="s">
        <v>71</v>
      </c>
      <c r="AE216" t="s">
        <v>72</v>
      </c>
      <c r="AF216" t="s">
        <v>67</v>
      </c>
      <c r="AG216" t="s">
        <v>73</v>
      </c>
      <c r="AH216" t="b">
        <v>0</v>
      </c>
      <c r="AI216" t="b">
        <v>1</v>
      </c>
      <c r="AJ216" t="b">
        <v>1</v>
      </c>
      <c r="AK216" t="b">
        <v>1</v>
      </c>
      <c r="AL216" s="6">
        <v>157.5</v>
      </c>
      <c r="AM216" s="3">
        <v>46300.208333333343</v>
      </c>
      <c r="AN216">
        <v>1</v>
      </c>
      <c r="AO216" s="3"/>
      <c r="AT216" t="b">
        <v>0</v>
      </c>
      <c r="AU216" t="s">
        <v>74</v>
      </c>
      <c r="AV216" t="b">
        <v>1</v>
      </c>
      <c r="AW216" t="b">
        <v>0</v>
      </c>
      <c r="AX216" s="5">
        <v>0</v>
      </c>
      <c r="AY216" s="3"/>
      <c r="AZ216" t="s">
        <v>67</v>
      </c>
      <c r="BA216" t="s">
        <v>67</v>
      </c>
      <c r="BB216" t="s">
        <v>317</v>
      </c>
    </row>
    <row r="217" spans="1:54" x14ac:dyDescent="0.3">
      <c r="A217">
        <v>1</v>
      </c>
      <c r="B217">
        <v>15</v>
      </c>
      <c r="C217" t="s">
        <v>54</v>
      </c>
      <c r="D217" s="3">
        <v>46126.361238425918</v>
      </c>
      <c r="E217" s="8">
        <v>46126</v>
      </c>
      <c r="F217" t="s">
        <v>1127</v>
      </c>
      <c r="G217" t="s">
        <v>307</v>
      </c>
      <c r="H217" t="s">
        <v>1128</v>
      </c>
      <c r="I217" t="s">
        <v>1129</v>
      </c>
      <c r="J217" t="s">
        <v>59</v>
      </c>
      <c r="K217" t="s">
        <v>1130</v>
      </c>
      <c r="L217" t="s">
        <v>699</v>
      </c>
      <c r="M217" t="s">
        <v>63</v>
      </c>
      <c r="O217" t="s">
        <v>251</v>
      </c>
      <c r="P217" t="s">
        <v>252</v>
      </c>
      <c r="Q217" s="5">
        <v>1</v>
      </c>
      <c r="R217" s="6">
        <v>520</v>
      </c>
      <c r="S217" s="6">
        <v>520</v>
      </c>
      <c r="T217" s="6">
        <v>63.25</v>
      </c>
      <c r="U217" s="3">
        <v>46300.208333333343</v>
      </c>
      <c r="W217" t="s">
        <v>1131</v>
      </c>
      <c r="X217" t="s">
        <v>67</v>
      </c>
      <c r="Y217" t="s">
        <v>68</v>
      </c>
      <c r="Z217" t="s">
        <v>69</v>
      </c>
      <c r="AA217" t="s">
        <v>69</v>
      </c>
      <c r="AB217" t="s">
        <v>67</v>
      </c>
      <c r="AC217" t="s">
        <v>70</v>
      </c>
      <c r="AD217" t="s">
        <v>71</v>
      </c>
      <c r="AE217" t="s">
        <v>220</v>
      </c>
      <c r="AF217" t="s">
        <v>67</v>
      </c>
      <c r="AG217" t="s">
        <v>253</v>
      </c>
      <c r="AH217" t="b">
        <v>0</v>
      </c>
      <c r="AI217" t="b">
        <v>1</v>
      </c>
      <c r="AJ217" t="b">
        <v>1</v>
      </c>
      <c r="AK217" t="b">
        <v>1</v>
      </c>
      <c r="AL217" s="6">
        <v>63.25</v>
      </c>
      <c r="AM217" s="3">
        <v>46300.208333333343</v>
      </c>
      <c r="AN217">
        <v>1</v>
      </c>
      <c r="AO217" s="3"/>
      <c r="AT217" t="b">
        <v>0</v>
      </c>
      <c r="AU217" t="s">
        <v>74</v>
      </c>
      <c r="AV217" t="b">
        <v>1</v>
      </c>
      <c r="AW217" t="b">
        <v>0</v>
      </c>
      <c r="AX217" s="5">
        <v>0</v>
      </c>
      <c r="AY217" s="3"/>
      <c r="AZ217" t="s">
        <v>67</v>
      </c>
      <c r="BA217" t="s">
        <v>67</v>
      </c>
      <c r="BB217" t="s">
        <v>317</v>
      </c>
    </row>
    <row r="218" spans="1:54" x14ac:dyDescent="0.3">
      <c r="A218">
        <v>1</v>
      </c>
      <c r="B218">
        <v>15</v>
      </c>
      <c r="C218" t="s">
        <v>54</v>
      </c>
      <c r="D218" s="3">
        <v>46126.361238425918</v>
      </c>
      <c r="E218" s="8">
        <v>46126</v>
      </c>
      <c r="F218" t="s">
        <v>1127</v>
      </c>
      <c r="G218" t="s">
        <v>307</v>
      </c>
      <c r="H218" t="s">
        <v>1128</v>
      </c>
      <c r="I218" t="s">
        <v>1129</v>
      </c>
      <c r="J218" t="s">
        <v>59</v>
      </c>
      <c r="K218" t="s">
        <v>1130</v>
      </c>
      <c r="L218" t="s">
        <v>699</v>
      </c>
      <c r="M218" t="s">
        <v>63</v>
      </c>
      <c r="O218" t="s">
        <v>247</v>
      </c>
      <c r="P218" t="s">
        <v>248</v>
      </c>
      <c r="Q218" s="5">
        <v>1</v>
      </c>
      <c r="R218" s="6">
        <v>36</v>
      </c>
      <c r="S218" s="6">
        <v>36</v>
      </c>
      <c r="T218" s="6">
        <v>12.88</v>
      </c>
      <c r="U218" s="3">
        <v>46300.208333333343</v>
      </c>
      <c r="W218" t="s">
        <v>1131</v>
      </c>
      <c r="X218" t="s">
        <v>67</v>
      </c>
      <c r="Y218" t="s">
        <v>68</v>
      </c>
      <c r="Z218" t="s">
        <v>69</v>
      </c>
      <c r="AA218" t="s">
        <v>69</v>
      </c>
      <c r="AB218" t="s">
        <v>67</v>
      </c>
      <c r="AC218" t="s">
        <v>70</v>
      </c>
      <c r="AD218" t="s">
        <v>71</v>
      </c>
      <c r="AE218" t="s">
        <v>220</v>
      </c>
      <c r="AF218" t="s">
        <v>67</v>
      </c>
      <c r="AG218" t="s">
        <v>250</v>
      </c>
      <c r="AH218" t="b">
        <v>0</v>
      </c>
      <c r="AI218" t="b">
        <v>1</v>
      </c>
      <c r="AJ218" t="b">
        <v>1</v>
      </c>
      <c r="AK218" t="b">
        <v>1</v>
      </c>
      <c r="AL218" s="6">
        <v>12.88</v>
      </c>
      <c r="AM218" s="3">
        <v>46300.208333333343</v>
      </c>
      <c r="AN218">
        <v>1</v>
      </c>
      <c r="AO218" s="3"/>
      <c r="AT218" t="b">
        <v>0</v>
      </c>
      <c r="AU218" t="s">
        <v>74</v>
      </c>
      <c r="AV218" t="b">
        <v>1</v>
      </c>
      <c r="AW218" t="b">
        <v>0</v>
      </c>
      <c r="AX218" s="5">
        <v>0</v>
      </c>
      <c r="AY218" s="3"/>
      <c r="AZ218" t="s">
        <v>67</v>
      </c>
      <c r="BA218" t="s">
        <v>67</v>
      </c>
      <c r="BB218" t="s">
        <v>317</v>
      </c>
    </row>
    <row r="219" spans="1:54" x14ac:dyDescent="0.3">
      <c r="A219">
        <v>1</v>
      </c>
      <c r="B219">
        <v>15</v>
      </c>
      <c r="C219" t="s">
        <v>54</v>
      </c>
      <c r="D219" s="3">
        <v>46126.361238425918</v>
      </c>
      <c r="E219" s="8">
        <v>46126</v>
      </c>
      <c r="F219" t="s">
        <v>1127</v>
      </c>
      <c r="G219" t="s">
        <v>307</v>
      </c>
      <c r="H219" t="s">
        <v>1128</v>
      </c>
      <c r="I219" t="s">
        <v>1129</v>
      </c>
      <c r="J219" t="s">
        <v>59</v>
      </c>
      <c r="K219" t="s">
        <v>1130</v>
      </c>
      <c r="L219" t="s">
        <v>699</v>
      </c>
      <c r="M219" t="s">
        <v>63</v>
      </c>
      <c r="O219" t="s">
        <v>1132</v>
      </c>
      <c r="P219" t="s">
        <v>1133</v>
      </c>
      <c r="Q219" s="5">
        <v>1</v>
      </c>
      <c r="R219" s="6">
        <v>71</v>
      </c>
      <c r="S219" s="6">
        <v>71</v>
      </c>
      <c r="T219" s="6">
        <v>25.76</v>
      </c>
      <c r="U219" s="3">
        <v>46300.208333333343</v>
      </c>
      <c r="W219" t="s">
        <v>1131</v>
      </c>
      <c r="X219" t="s">
        <v>67</v>
      </c>
      <c r="Y219" t="s">
        <v>68</v>
      </c>
      <c r="Z219" t="s">
        <v>69</v>
      </c>
      <c r="AA219" t="s">
        <v>69</v>
      </c>
      <c r="AB219" t="s">
        <v>67</v>
      </c>
      <c r="AC219" t="s">
        <v>70</v>
      </c>
      <c r="AD219" t="s">
        <v>71</v>
      </c>
      <c r="AE219" t="s">
        <v>220</v>
      </c>
      <c r="AF219" t="s">
        <v>67</v>
      </c>
      <c r="AG219" t="s">
        <v>1134</v>
      </c>
      <c r="AH219" t="b">
        <v>0</v>
      </c>
      <c r="AI219" t="b">
        <v>1</v>
      </c>
      <c r="AJ219" t="b">
        <v>1</v>
      </c>
      <c r="AK219" t="b">
        <v>1</v>
      </c>
      <c r="AL219" s="6">
        <v>25.76</v>
      </c>
      <c r="AM219" s="3">
        <v>46300.208333333343</v>
      </c>
      <c r="AN219">
        <v>1</v>
      </c>
      <c r="AO219" s="3"/>
      <c r="AT219" t="b">
        <v>0</v>
      </c>
      <c r="AU219" t="s">
        <v>74</v>
      </c>
      <c r="AV219" t="b">
        <v>1</v>
      </c>
      <c r="AW219" t="b">
        <v>0</v>
      </c>
      <c r="AX219" s="5">
        <v>0</v>
      </c>
      <c r="AY219" s="3"/>
      <c r="AZ219" t="s">
        <v>67</v>
      </c>
      <c r="BA219" t="s">
        <v>67</v>
      </c>
      <c r="BB219" t="s">
        <v>317</v>
      </c>
    </row>
    <row r="220" spans="1:54" x14ac:dyDescent="0.3">
      <c r="A220">
        <v>1</v>
      </c>
      <c r="B220">
        <v>15</v>
      </c>
      <c r="C220" t="s">
        <v>54</v>
      </c>
      <c r="D220" s="3">
        <v>46126.463206018518</v>
      </c>
      <c r="E220" s="8">
        <v>46128</v>
      </c>
      <c r="F220" t="s">
        <v>1135</v>
      </c>
      <c r="G220" t="s">
        <v>307</v>
      </c>
      <c r="H220" t="s">
        <v>1136</v>
      </c>
      <c r="I220" t="s">
        <v>1137</v>
      </c>
      <c r="J220" t="s">
        <v>59</v>
      </c>
      <c r="K220" t="s">
        <v>1138</v>
      </c>
      <c r="L220" t="s">
        <v>61</v>
      </c>
      <c r="M220" t="s">
        <v>63</v>
      </c>
      <c r="N220" t="s">
        <v>63</v>
      </c>
      <c r="O220" t="s">
        <v>82</v>
      </c>
      <c r="P220" t="s">
        <v>83</v>
      </c>
      <c r="Q220" s="5">
        <v>2</v>
      </c>
      <c r="R220" s="6">
        <v>140</v>
      </c>
      <c r="S220" s="6">
        <v>280</v>
      </c>
      <c r="T220" s="6">
        <v>186.2</v>
      </c>
      <c r="U220" s="3">
        <v>46252.368055555547</v>
      </c>
      <c r="W220" t="s">
        <v>1139</v>
      </c>
      <c r="X220" t="s">
        <v>67</v>
      </c>
      <c r="Y220" t="s">
        <v>68</v>
      </c>
      <c r="Z220" t="s">
        <v>1140</v>
      </c>
      <c r="AA220" t="s">
        <v>522</v>
      </c>
      <c r="AB220" t="s">
        <v>67</v>
      </c>
      <c r="AC220" t="s">
        <v>70</v>
      </c>
      <c r="AD220" t="s">
        <v>71</v>
      </c>
      <c r="AE220" t="s">
        <v>84</v>
      </c>
      <c r="AF220" t="s">
        <v>67</v>
      </c>
      <c r="AG220" t="s">
        <v>82</v>
      </c>
      <c r="AH220" t="b">
        <v>0</v>
      </c>
      <c r="AI220" t="b">
        <v>0</v>
      </c>
      <c r="AJ220" t="b">
        <v>0</v>
      </c>
      <c r="AK220" t="b">
        <v>0</v>
      </c>
      <c r="AL220" s="6">
        <v>93.1</v>
      </c>
      <c r="AM220" s="3">
        <v>46252.368055555547</v>
      </c>
      <c r="AN220">
        <v>0</v>
      </c>
      <c r="AO220" s="3"/>
      <c r="AT220" t="b">
        <v>0</v>
      </c>
      <c r="AU220" t="s">
        <v>74</v>
      </c>
      <c r="AV220" t="b">
        <v>1</v>
      </c>
      <c r="AW220" t="b">
        <v>0</v>
      </c>
      <c r="AX220" s="5">
        <v>0</v>
      </c>
      <c r="AY220" s="3"/>
      <c r="AZ220" t="s">
        <v>67</v>
      </c>
      <c r="BA220" t="s">
        <v>67</v>
      </c>
      <c r="BB220" t="s">
        <v>317</v>
      </c>
    </row>
    <row r="221" spans="1:54" x14ac:dyDescent="0.3">
      <c r="A221">
        <v>1</v>
      </c>
      <c r="B221">
        <v>15</v>
      </c>
      <c r="C221" t="s">
        <v>54</v>
      </c>
      <c r="D221" s="3">
        <v>46126.463206018518</v>
      </c>
      <c r="E221" s="8">
        <v>46128</v>
      </c>
      <c r="F221" t="s">
        <v>1135</v>
      </c>
      <c r="G221" t="s">
        <v>307</v>
      </c>
      <c r="H221" t="s">
        <v>1136</v>
      </c>
      <c r="I221" t="s">
        <v>1137</v>
      </c>
      <c r="J221" t="s">
        <v>59</v>
      </c>
      <c r="K221" t="s">
        <v>1138</v>
      </c>
      <c r="L221" t="s">
        <v>61</v>
      </c>
      <c r="M221" t="s">
        <v>63</v>
      </c>
      <c r="N221" t="s">
        <v>63</v>
      </c>
      <c r="O221" t="s">
        <v>82</v>
      </c>
      <c r="P221" t="s">
        <v>83</v>
      </c>
      <c r="Q221" s="5">
        <v>2</v>
      </c>
      <c r="R221" s="6">
        <v>140</v>
      </c>
      <c r="S221" s="6">
        <v>280</v>
      </c>
      <c r="T221" s="6">
        <v>186.2</v>
      </c>
      <c r="U221" s="3">
        <v>46252.368055555547</v>
      </c>
      <c r="W221" t="s">
        <v>1139</v>
      </c>
      <c r="X221" t="s">
        <v>67</v>
      </c>
      <c r="Y221" t="s">
        <v>68</v>
      </c>
      <c r="Z221" t="s">
        <v>1140</v>
      </c>
      <c r="AA221" t="s">
        <v>522</v>
      </c>
      <c r="AB221" t="s">
        <v>67</v>
      </c>
      <c r="AC221" t="s">
        <v>70</v>
      </c>
      <c r="AD221" t="s">
        <v>71</v>
      </c>
      <c r="AE221" t="s">
        <v>84</v>
      </c>
      <c r="AF221" t="s">
        <v>67</v>
      </c>
      <c r="AG221" t="s">
        <v>82</v>
      </c>
      <c r="AH221" t="b">
        <v>0</v>
      </c>
      <c r="AI221" t="b">
        <v>0</v>
      </c>
      <c r="AJ221" t="b">
        <v>0</v>
      </c>
      <c r="AK221" t="b">
        <v>0</v>
      </c>
      <c r="AL221" s="6">
        <v>93.1</v>
      </c>
      <c r="AM221" s="3">
        <v>46252.368055555547</v>
      </c>
      <c r="AN221">
        <v>1</v>
      </c>
      <c r="AO221" s="3"/>
      <c r="AT221" t="b">
        <v>0</v>
      </c>
      <c r="AU221" t="s">
        <v>74</v>
      </c>
      <c r="AV221" t="b">
        <v>1</v>
      </c>
      <c r="AW221" t="b">
        <v>0</v>
      </c>
      <c r="AX221" s="5">
        <v>0</v>
      </c>
      <c r="AY221" s="3"/>
      <c r="AZ221" t="s">
        <v>67</v>
      </c>
      <c r="BA221" t="s">
        <v>67</v>
      </c>
      <c r="BB221" t="s">
        <v>317</v>
      </c>
    </row>
    <row r="222" spans="1:54" x14ac:dyDescent="0.3">
      <c r="A222">
        <v>1</v>
      </c>
      <c r="B222">
        <v>15</v>
      </c>
      <c r="C222" t="s">
        <v>54</v>
      </c>
      <c r="D222" s="3">
        <v>46126.463206018518</v>
      </c>
      <c r="E222" s="8">
        <v>46128</v>
      </c>
      <c r="F222" t="s">
        <v>1135</v>
      </c>
      <c r="G222" t="s">
        <v>307</v>
      </c>
      <c r="H222" t="s">
        <v>1136</v>
      </c>
      <c r="I222" t="s">
        <v>1137</v>
      </c>
      <c r="J222" t="s">
        <v>59</v>
      </c>
      <c r="K222" t="s">
        <v>1138</v>
      </c>
      <c r="L222" t="s">
        <v>61</v>
      </c>
      <c r="M222" t="s">
        <v>63</v>
      </c>
      <c r="N222" t="s">
        <v>63</v>
      </c>
      <c r="O222" t="s">
        <v>1141</v>
      </c>
      <c r="P222" t="s">
        <v>1142</v>
      </c>
      <c r="Q222" s="5">
        <v>3</v>
      </c>
      <c r="R222" s="6">
        <v>237</v>
      </c>
      <c r="S222" s="6">
        <v>711</v>
      </c>
      <c r="T222" s="6">
        <v>472.5</v>
      </c>
      <c r="U222" s="3">
        <v>46252.368055555547</v>
      </c>
      <c r="W222" t="s">
        <v>1139</v>
      </c>
      <c r="X222" t="s">
        <v>67</v>
      </c>
      <c r="Y222" t="s">
        <v>68</v>
      </c>
      <c r="Z222" t="s">
        <v>1140</v>
      </c>
      <c r="AA222" t="s">
        <v>522</v>
      </c>
      <c r="AB222" t="s">
        <v>67</v>
      </c>
      <c r="AC222" t="s">
        <v>70</v>
      </c>
      <c r="AD222" t="s">
        <v>71</v>
      </c>
      <c r="AE222" t="s">
        <v>72</v>
      </c>
      <c r="AF222" t="s">
        <v>67</v>
      </c>
      <c r="AG222" t="s">
        <v>1143</v>
      </c>
      <c r="AH222" t="b">
        <v>0</v>
      </c>
      <c r="AI222" t="b">
        <v>0</v>
      </c>
      <c r="AJ222" t="b">
        <v>0</v>
      </c>
      <c r="AK222" t="b">
        <v>0</v>
      </c>
      <c r="AL222" s="6">
        <v>157.5</v>
      </c>
      <c r="AM222" s="3">
        <v>46252.368055555547</v>
      </c>
      <c r="AN222">
        <v>0</v>
      </c>
      <c r="AO222" s="3"/>
      <c r="AT222" t="b">
        <v>0</v>
      </c>
      <c r="AU222" t="s">
        <v>74</v>
      </c>
      <c r="AV222" t="b">
        <v>1</v>
      </c>
      <c r="AW222" t="b">
        <v>0</v>
      </c>
      <c r="AX222" s="5">
        <v>0</v>
      </c>
      <c r="AY222" s="3"/>
      <c r="AZ222" t="s">
        <v>67</v>
      </c>
      <c r="BA222" t="s">
        <v>67</v>
      </c>
      <c r="BB222" t="s">
        <v>317</v>
      </c>
    </row>
    <row r="223" spans="1:54" x14ac:dyDescent="0.3">
      <c r="A223">
        <v>1</v>
      </c>
      <c r="B223">
        <v>15</v>
      </c>
      <c r="C223" t="s">
        <v>54</v>
      </c>
      <c r="D223" s="3">
        <v>46126.463206018518</v>
      </c>
      <c r="E223" s="8">
        <v>46128</v>
      </c>
      <c r="F223" t="s">
        <v>1135</v>
      </c>
      <c r="G223" t="s">
        <v>307</v>
      </c>
      <c r="H223" t="s">
        <v>1136</v>
      </c>
      <c r="I223" t="s">
        <v>1137</v>
      </c>
      <c r="J223" t="s">
        <v>59</v>
      </c>
      <c r="K223" t="s">
        <v>1138</v>
      </c>
      <c r="L223" t="s">
        <v>61</v>
      </c>
      <c r="M223" t="s">
        <v>63</v>
      </c>
      <c r="N223" t="s">
        <v>63</v>
      </c>
      <c r="O223" t="s">
        <v>1141</v>
      </c>
      <c r="P223" t="s">
        <v>1142</v>
      </c>
      <c r="Q223" s="5">
        <v>3</v>
      </c>
      <c r="R223" s="6">
        <v>237</v>
      </c>
      <c r="S223" s="6">
        <v>711</v>
      </c>
      <c r="T223" s="6">
        <v>472.5</v>
      </c>
      <c r="U223" s="3">
        <v>46252.368055555547</v>
      </c>
      <c r="W223" t="s">
        <v>1139</v>
      </c>
      <c r="X223" t="s">
        <v>67</v>
      </c>
      <c r="Y223" t="s">
        <v>68</v>
      </c>
      <c r="Z223" t="s">
        <v>1140</v>
      </c>
      <c r="AA223" t="s">
        <v>522</v>
      </c>
      <c r="AB223" t="s">
        <v>67</v>
      </c>
      <c r="AC223" t="s">
        <v>70</v>
      </c>
      <c r="AD223" t="s">
        <v>71</v>
      </c>
      <c r="AE223" t="s">
        <v>72</v>
      </c>
      <c r="AF223" t="s">
        <v>67</v>
      </c>
      <c r="AG223" t="s">
        <v>1143</v>
      </c>
      <c r="AH223" t="b">
        <v>0</v>
      </c>
      <c r="AI223" t="b">
        <v>0</v>
      </c>
      <c r="AJ223" t="b">
        <v>0</v>
      </c>
      <c r="AK223" t="b">
        <v>0</v>
      </c>
      <c r="AL223" s="6">
        <v>157.5</v>
      </c>
      <c r="AM223" s="3">
        <v>46252.368055555547</v>
      </c>
      <c r="AN223">
        <v>1</v>
      </c>
      <c r="AO223" s="3"/>
      <c r="AT223" t="b">
        <v>0</v>
      </c>
      <c r="AU223" t="s">
        <v>74</v>
      </c>
      <c r="AV223" t="b">
        <v>1</v>
      </c>
      <c r="AW223" t="b">
        <v>0</v>
      </c>
      <c r="AX223" s="5">
        <v>0</v>
      </c>
      <c r="AY223" s="3"/>
      <c r="AZ223" t="s">
        <v>67</v>
      </c>
      <c r="BA223" t="s">
        <v>67</v>
      </c>
      <c r="BB223" t="s">
        <v>317</v>
      </c>
    </row>
    <row r="224" spans="1:54" x14ac:dyDescent="0.3">
      <c r="A224">
        <v>1</v>
      </c>
      <c r="B224">
        <v>15</v>
      </c>
      <c r="C224" t="s">
        <v>54</v>
      </c>
      <c r="D224" s="3">
        <v>46126.49596064815</v>
      </c>
      <c r="E224" s="8">
        <v>46128</v>
      </c>
      <c r="F224" t="s">
        <v>1144</v>
      </c>
      <c r="G224" t="s">
        <v>307</v>
      </c>
      <c r="H224" t="s">
        <v>1136</v>
      </c>
      <c r="I224" t="s">
        <v>1137</v>
      </c>
      <c r="J224" t="s">
        <v>59</v>
      </c>
      <c r="K224" t="s">
        <v>1138</v>
      </c>
      <c r="L224" t="s">
        <v>61</v>
      </c>
      <c r="M224" t="s">
        <v>63</v>
      </c>
      <c r="N224" t="s">
        <v>63</v>
      </c>
      <c r="O224" t="s">
        <v>239</v>
      </c>
      <c r="P224" t="s">
        <v>240</v>
      </c>
      <c r="Q224" s="5">
        <v>1</v>
      </c>
      <c r="R224" s="6">
        <v>660</v>
      </c>
      <c r="S224" s="6">
        <v>660</v>
      </c>
      <c r="T224" s="6">
        <v>440</v>
      </c>
      <c r="U224" s="3">
        <v>46252.368055555547</v>
      </c>
      <c r="W224" t="s">
        <v>1139</v>
      </c>
      <c r="X224" t="s">
        <v>67</v>
      </c>
      <c r="Y224" t="s">
        <v>68</v>
      </c>
      <c r="Z224" t="s">
        <v>1004</v>
      </c>
      <c r="AA224" t="s">
        <v>522</v>
      </c>
      <c r="AB224" t="s">
        <v>67</v>
      </c>
      <c r="AC224" t="s">
        <v>70</v>
      </c>
      <c r="AD224" t="s">
        <v>71</v>
      </c>
      <c r="AE224" t="s">
        <v>242</v>
      </c>
      <c r="AF224" t="s">
        <v>67</v>
      </c>
      <c r="AG224" t="s">
        <v>243</v>
      </c>
      <c r="AH224" t="b">
        <v>0</v>
      </c>
      <c r="AI224" t="b">
        <v>0</v>
      </c>
      <c r="AJ224" t="b">
        <v>0</v>
      </c>
      <c r="AK224" t="b">
        <v>0</v>
      </c>
      <c r="AL224" s="6">
        <v>440</v>
      </c>
      <c r="AM224" s="3">
        <v>46252.368055555547</v>
      </c>
      <c r="AN224">
        <v>0</v>
      </c>
      <c r="AO224" s="3"/>
      <c r="AT224" t="b">
        <v>0</v>
      </c>
      <c r="AU224" t="s">
        <v>74</v>
      </c>
      <c r="AV224" t="b">
        <v>1</v>
      </c>
      <c r="AW224" t="b">
        <v>0</v>
      </c>
      <c r="AX224" s="5">
        <v>0</v>
      </c>
      <c r="AY224" s="3"/>
      <c r="AZ224" t="s">
        <v>67</v>
      </c>
      <c r="BA224" t="s">
        <v>67</v>
      </c>
      <c r="BB224" t="s">
        <v>317</v>
      </c>
    </row>
    <row r="225" spans="1:54" x14ac:dyDescent="0.3">
      <c r="A225">
        <v>1</v>
      </c>
      <c r="B225">
        <v>15</v>
      </c>
      <c r="C225" t="s">
        <v>54</v>
      </c>
      <c r="D225" s="3">
        <v>46126.49596064815</v>
      </c>
      <c r="E225" s="8">
        <v>46128</v>
      </c>
      <c r="F225" t="s">
        <v>1144</v>
      </c>
      <c r="G225" t="s">
        <v>307</v>
      </c>
      <c r="H225" t="s">
        <v>1136</v>
      </c>
      <c r="I225" t="s">
        <v>1137</v>
      </c>
      <c r="J225" t="s">
        <v>59</v>
      </c>
      <c r="K225" t="s">
        <v>1138</v>
      </c>
      <c r="L225" t="s">
        <v>61</v>
      </c>
      <c r="M225" t="s">
        <v>63</v>
      </c>
      <c r="N225" t="s">
        <v>63</v>
      </c>
      <c r="O225" t="s">
        <v>239</v>
      </c>
      <c r="P225" t="s">
        <v>240</v>
      </c>
      <c r="Q225" s="5">
        <v>1</v>
      </c>
      <c r="R225" s="6">
        <v>660</v>
      </c>
      <c r="S225" s="6">
        <v>660</v>
      </c>
      <c r="T225" s="6">
        <v>440</v>
      </c>
      <c r="U225" s="3">
        <v>46252.368055555547</v>
      </c>
      <c r="W225" t="s">
        <v>1139</v>
      </c>
      <c r="X225" t="s">
        <v>67</v>
      </c>
      <c r="Y225" t="s">
        <v>68</v>
      </c>
      <c r="Z225" t="s">
        <v>1004</v>
      </c>
      <c r="AA225" t="s">
        <v>522</v>
      </c>
      <c r="AB225" t="s">
        <v>67</v>
      </c>
      <c r="AC225" t="s">
        <v>70</v>
      </c>
      <c r="AD225" t="s">
        <v>71</v>
      </c>
      <c r="AE225" t="s">
        <v>242</v>
      </c>
      <c r="AF225" t="s">
        <v>67</v>
      </c>
      <c r="AG225" t="s">
        <v>243</v>
      </c>
      <c r="AH225" t="b">
        <v>0</v>
      </c>
      <c r="AI225" t="b">
        <v>0</v>
      </c>
      <c r="AJ225" t="b">
        <v>0</v>
      </c>
      <c r="AK225" t="b">
        <v>0</v>
      </c>
      <c r="AL225" s="6">
        <v>440</v>
      </c>
      <c r="AM225" s="3">
        <v>46252.368055555547</v>
      </c>
      <c r="AN225">
        <v>1</v>
      </c>
      <c r="AO225" s="3"/>
      <c r="AT225" t="b">
        <v>0</v>
      </c>
      <c r="AU225" t="s">
        <v>74</v>
      </c>
      <c r="AV225" t="b">
        <v>1</v>
      </c>
      <c r="AW225" t="b">
        <v>0</v>
      </c>
      <c r="AX225" s="5">
        <v>0</v>
      </c>
      <c r="AY225" s="3"/>
      <c r="AZ225" t="s">
        <v>67</v>
      </c>
      <c r="BA225" t="s">
        <v>67</v>
      </c>
      <c r="BB225" t="s">
        <v>317</v>
      </c>
    </row>
    <row r="226" spans="1:54" x14ac:dyDescent="0.3">
      <c r="A226">
        <v>1</v>
      </c>
      <c r="B226">
        <v>15</v>
      </c>
      <c r="C226" t="s">
        <v>54</v>
      </c>
      <c r="D226" s="3">
        <v>46127.676712962973</v>
      </c>
      <c r="E226" s="8">
        <v>46127</v>
      </c>
      <c r="F226" t="s">
        <v>1145</v>
      </c>
      <c r="G226" t="s">
        <v>307</v>
      </c>
      <c r="H226" t="s">
        <v>1146</v>
      </c>
      <c r="I226" t="s">
        <v>1147</v>
      </c>
      <c r="J226" t="s">
        <v>363</v>
      </c>
      <c r="K226" t="s">
        <v>1148</v>
      </c>
      <c r="L226" t="s">
        <v>986</v>
      </c>
      <c r="M226" t="s">
        <v>366</v>
      </c>
      <c r="N226" t="s">
        <v>366</v>
      </c>
      <c r="O226" t="s">
        <v>742</v>
      </c>
      <c r="P226" t="s">
        <v>743</v>
      </c>
      <c r="Q226" s="5">
        <v>1</v>
      </c>
      <c r="R226" s="6">
        <v>555</v>
      </c>
      <c r="S226" s="6">
        <v>555</v>
      </c>
      <c r="T226" s="6">
        <v>346.68</v>
      </c>
      <c r="U226" s="3">
        <v>46288.25</v>
      </c>
      <c r="W226" t="s">
        <v>1149</v>
      </c>
      <c r="X226" t="s">
        <v>70</v>
      </c>
      <c r="Y226" t="s">
        <v>23</v>
      </c>
      <c r="Z226" t="s">
        <v>69</v>
      </c>
      <c r="AA226" t="s">
        <v>69</v>
      </c>
      <c r="AB226" t="s">
        <v>67</v>
      </c>
      <c r="AC226" t="s">
        <v>70</v>
      </c>
      <c r="AD226" t="s">
        <v>370</v>
      </c>
      <c r="AE226" t="s">
        <v>102</v>
      </c>
      <c r="AF226" t="s">
        <v>67</v>
      </c>
      <c r="AH226" t="b">
        <v>0</v>
      </c>
      <c r="AI226" t="b">
        <v>0</v>
      </c>
      <c r="AJ226" t="b">
        <v>0</v>
      </c>
      <c r="AK226" t="b">
        <v>0</v>
      </c>
      <c r="AL226" s="6">
        <v>346.68</v>
      </c>
      <c r="AM226" s="3">
        <v>46288.25</v>
      </c>
      <c r="AN226">
        <v>1</v>
      </c>
      <c r="AO226" s="3"/>
      <c r="AT226" t="b">
        <v>0</v>
      </c>
      <c r="AU226" t="s">
        <v>74</v>
      </c>
      <c r="AV226" t="b">
        <v>1</v>
      </c>
      <c r="AW226" t="b">
        <v>0</v>
      </c>
      <c r="AX226" s="5">
        <v>0</v>
      </c>
      <c r="AY226" s="3"/>
      <c r="AZ226" t="s">
        <v>67</v>
      </c>
      <c r="BA226" t="s">
        <v>67</v>
      </c>
      <c r="BB226" t="s">
        <v>317</v>
      </c>
    </row>
    <row r="227" spans="1:54" x14ac:dyDescent="0.3">
      <c r="A227">
        <v>1</v>
      </c>
      <c r="B227">
        <v>15</v>
      </c>
      <c r="C227" t="s">
        <v>54</v>
      </c>
      <c r="D227" s="3">
        <v>46127.743113425917</v>
      </c>
      <c r="E227" s="8">
        <v>46127</v>
      </c>
      <c r="F227" t="s">
        <v>1150</v>
      </c>
      <c r="G227" t="s">
        <v>307</v>
      </c>
      <c r="H227" t="s">
        <v>1151</v>
      </c>
      <c r="I227" t="s">
        <v>1152</v>
      </c>
      <c r="J227" t="s">
        <v>363</v>
      </c>
      <c r="K227" t="s">
        <v>1061</v>
      </c>
      <c r="L227" t="s">
        <v>986</v>
      </c>
      <c r="M227" t="s">
        <v>366</v>
      </c>
      <c r="N227" t="s">
        <v>366</v>
      </c>
      <c r="O227" t="s">
        <v>742</v>
      </c>
      <c r="P227" t="s">
        <v>743</v>
      </c>
      <c r="Q227" s="5">
        <v>1</v>
      </c>
      <c r="R227" s="6">
        <v>555</v>
      </c>
      <c r="S227" s="6">
        <v>555</v>
      </c>
      <c r="T227" s="6">
        <v>346.68</v>
      </c>
      <c r="U227" s="3">
        <v>46288.270833333343</v>
      </c>
      <c r="W227" t="s">
        <v>1153</v>
      </c>
      <c r="X227" t="s">
        <v>70</v>
      </c>
      <c r="Y227" t="s">
        <v>23</v>
      </c>
      <c r="Z227" t="s">
        <v>69</v>
      </c>
      <c r="AA227" t="s">
        <v>69</v>
      </c>
      <c r="AB227" t="s">
        <v>67</v>
      </c>
      <c r="AC227" t="s">
        <v>70</v>
      </c>
      <c r="AD227" t="s">
        <v>370</v>
      </c>
      <c r="AE227" t="s">
        <v>102</v>
      </c>
      <c r="AF227" t="s">
        <v>67</v>
      </c>
      <c r="AH227" t="b">
        <v>0</v>
      </c>
      <c r="AI227" t="b">
        <v>0</v>
      </c>
      <c r="AJ227" t="b">
        <v>0</v>
      </c>
      <c r="AK227" t="b">
        <v>0</v>
      </c>
      <c r="AL227" s="6">
        <v>346.68</v>
      </c>
      <c r="AM227" s="3">
        <v>46288.270833333343</v>
      </c>
      <c r="AN227">
        <v>1</v>
      </c>
      <c r="AO227" s="3"/>
      <c r="AT227" t="b">
        <v>0</v>
      </c>
      <c r="AU227" t="s">
        <v>74</v>
      </c>
      <c r="AV227" t="b">
        <v>1</v>
      </c>
      <c r="AW227" t="b">
        <v>0</v>
      </c>
      <c r="AX227" s="5">
        <v>0</v>
      </c>
      <c r="AY227" s="3"/>
      <c r="AZ227" t="s">
        <v>67</v>
      </c>
      <c r="BA227" t="s">
        <v>67</v>
      </c>
      <c r="BB227" t="s">
        <v>317</v>
      </c>
    </row>
    <row r="228" spans="1:54" x14ac:dyDescent="0.3">
      <c r="A228">
        <v>1</v>
      </c>
      <c r="B228">
        <v>15</v>
      </c>
      <c r="C228" t="s">
        <v>54</v>
      </c>
      <c r="D228" s="3">
        <v>46150.685150462959</v>
      </c>
      <c r="E228" s="8">
        <v>46150</v>
      </c>
      <c r="F228" t="s">
        <v>1154</v>
      </c>
      <c r="G228" t="s">
        <v>307</v>
      </c>
      <c r="H228" t="s">
        <v>1155</v>
      </c>
      <c r="I228" t="s">
        <v>1156</v>
      </c>
      <c r="J228" t="s">
        <v>749</v>
      </c>
      <c r="L228" t="s">
        <v>751</v>
      </c>
      <c r="M228" t="s">
        <v>97</v>
      </c>
      <c r="N228" t="s">
        <v>97</v>
      </c>
      <c r="O228" t="s">
        <v>1080</v>
      </c>
      <c r="P228" t="s">
        <v>1081</v>
      </c>
      <c r="Q228" s="5">
        <v>1</v>
      </c>
      <c r="R228" s="6">
        <v>727</v>
      </c>
      <c r="S228" s="6">
        <v>727</v>
      </c>
      <c r="T228" s="6">
        <v>454</v>
      </c>
      <c r="U228" s="3">
        <v>46281.291666666657</v>
      </c>
      <c r="W228" t="s">
        <v>1157</v>
      </c>
      <c r="X228" t="s">
        <v>70</v>
      </c>
      <c r="Y228" t="s">
        <v>23</v>
      </c>
      <c r="Z228" t="s">
        <v>69</v>
      </c>
      <c r="AA228" t="s">
        <v>69</v>
      </c>
      <c r="AB228" t="s">
        <v>67</v>
      </c>
      <c r="AC228" t="s">
        <v>70</v>
      </c>
      <c r="AD228" t="s">
        <v>101</v>
      </c>
      <c r="AF228" t="s">
        <v>67</v>
      </c>
      <c r="AH228" t="b">
        <v>0</v>
      </c>
      <c r="AI228" t="b">
        <v>0</v>
      </c>
      <c r="AJ228" t="b">
        <v>0</v>
      </c>
      <c r="AK228" t="b">
        <v>0</v>
      </c>
      <c r="AL228" s="6">
        <v>454</v>
      </c>
      <c r="AM228" s="3">
        <v>46151.25</v>
      </c>
      <c r="AN228">
        <v>1</v>
      </c>
      <c r="AO228" s="3"/>
      <c r="AT228" t="b">
        <v>0</v>
      </c>
      <c r="AU228" t="s">
        <v>74</v>
      </c>
      <c r="AV228" t="b">
        <v>1</v>
      </c>
      <c r="AW228" t="b">
        <v>0</v>
      </c>
      <c r="AX228" s="5">
        <v>0</v>
      </c>
      <c r="AY228" s="3"/>
      <c r="AZ228" t="s">
        <v>67</v>
      </c>
      <c r="BA228" t="s">
        <v>67</v>
      </c>
      <c r="BB228" t="s">
        <v>317</v>
      </c>
    </row>
    <row r="229" spans="1:54" x14ac:dyDescent="0.3">
      <c r="A229">
        <v>1</v>
      </c>
      <c r="B229">
        <v>15</v>
      </c>
      <c r="C229" t="s">
        <v>54</v>
      </c>
      <c r="D229" s="3">
        <v>46150.685150462959</v>
      </c>
      <c r="E229" s="8">
        <v>46150</v>
      </c>
      <c r="F229" t="s">
        <v>1154</v>
      </c>
      <c r="G229" t="s">
        <v>307</v>
      </c>
      <c r="H229" t="s">
        <v>1155</v>
      </c>
      <c r="I229" t="s">
        <v>1156</v>
      </c>
      <c r="J229" t="s">
        <v>749</v>
      </c>
      <c r="L229" t="s">
        <v>751</v>
      </c>
      <c r="M229" t="s">
        <v>97</v>
      </c>
      <c r="N229" t="s">
        <v>97</v>
      </c>
      <c r="O229" t="s">
        <v>752</v>
      </c>
      <c r="P229" t="s">
        <v>753</v>
      </c>
      <c r="Q229" s="5">
        <v>1</v>
      </c>
      <c r="R229" s="6">
        <v>80</v>
      </c>
      <c r="S229" s="6">
        <v>80</v>
      </c>
      <c r="T229" s="6">
        <v>0</v>
      </c>
      <c r="U229" s="3">
        <v>46281.291666666657</v>
      </c>
      <c r="W229" t="s">
        <v>1157</v>
      </c>
      <c r="X229" t="s">
        <v>70</v>
      </c>
      <c r="Y229" t="s">
        <v>23</v>
      </c>
      <c r="Z229" t="s">
        <v>69</v>
      </c>
      <c r="AA229" t="s">
        <v>69</v>
      </c>
      <c r="AB229" t="s">
        <v>67</v>
      </c>
      <c r="AC229" t="s">
        <v>70</v>
      </c>
      <c r="AD229" t="s">
        <v>101</v>
      </c>
      <c r="AE229" t="s">
        <v>102</v>
      </c>
      <c r="AF229" t="s">
        <v>67</v>
      </c>
      <c r="AG229" t="s">
        <v>752</v>
      </c>
      <c r="AH229" t="b">
        <v>0</v>
      </c>
      <c r="AI229" t="b">
        <v>0</v>
      </c>
      <c r="AJ229" t="b">
        <v>0</v>
      </c>
      <c r="AK229" t="b">
        <v>0</v>
      </c>
      <c r="AL229" s="6">
        <v>0</v>
      </c>
      <c r="AM229" s="3">
        <v>46151.25</v>
      </c>
      <c r="AN229">
        <v>1</v>
      </c>
      <c r="AO229" s="3"/>
      <c r="AT229" t="b">
        <v>0</v>
      </c>
      <c r="AU229" t="s">
        <v>74</v>
      </c>
      <c r="AV229" t="b">
        <v>1</v>
      </c>
      <c r="AW229" t="b">
        <v>0</v>
      </c>
      <c r="AX229" s="5">
        <v>0</v>
      </c>
      <c r="AY229" s="3"/>
      <c r="AZ229" t="s">
        <v>67</v>
      </c>
      <c r="BA229" t="s">
        <v>67</v>
      </c>
      <c r="BB229" t="s">
        <v>317</v>
      </c>
    </row>
    <row r="230" spans="1:54" x14ac:dyDescent="0.3">
      <c r="A230">
        <v>1</v>
      </c>
      <c r="B230">
        <v>15</v>
      </c>
      <c r="C230" t="s">
        <v>54</v>
      </c>
      <c r="D230" s="3">
        <v>46150.685150462959</v>
      </c>
      <c r="E230" s="8">
        <v>46150</v>
      </c>
      <c r="F230" t="s">
        <v>1154</v>
      </c>
      <c r="G230" t="s">
        <v>307</v>
      </c>
      <c r="H230" t="s">
        <v>1155</v>
      </c>
      <c r="I230" t="s">
        <v>1156</v>
      </c>
      <c r="J230" t="s">
        <v>749</v>
      </c>
      <c r="L230" t="s">
        <v>751</v>
      </c>
      <c r="M230" t="s">
        <v>97</v>
      </c>
      <c r="N230" t="s">
        <v>97</v>
      </c>
      <c r="O230" t="s">
        <v>1158</v>
      </c>
      <c r="P230" t="s">
        <v>1159</v>
      </c>
      <c r="Q230" s="5">
        <v>1</v>
      </c>
      <c r="R230" s="6">
        <v>192.12</v>
      </c>
      <c r="S230" s="6">
        <v>192.12</v>
      </c>
      <c r="T230" s="6">
        <v>60.75</v>
      </c>
      <c r="U230" s="3">
        <v>46281.291666666657</v>
      </c>
      <c r="W230" t="s">
        <v>1157</v>
      </c>
      <c r="X230" t="s">
        <v>70</v>
      </c>
      <c r="Y230" t="s">
        <v>68</v>
      </c>
      <c r="Z230" t="s">
        <v>69</v>
      </c>
      <c r="AA230" t="s">
        <v>69</v>
      </c>
      <c r="AB230" t="s">
        <v>67</v>
      </c>
      <c r="AC230" t="s">
        <v>70</v>
      </c>
      <c r="AD230" t="s">
        <v>101</v>
      </c>
      <c r="AE230" t="s">
        <v>77</v>
      </c>
      <c r="AF230" t="s">
        <v>67</v>
      </c>
      <c r="AG230" t="s">
        <v>1160</v>
      </c>
      <c r="AH230" t="b">
        <v>0</v>
      </c>
      <c r="AI230" t="b">
        <v>0</v>
      </c>
      <c r="AJ230" t="b">
        <v>0</v>
      </c>
      <c r="AK230" t="b">
        <v>0</v>
      </c>
      <c r="AL230" s="6">
        <v>60.75</v>
      </c>
      <c r="AM230" s="3">
        <v>46151.25</v>
      </c>
      <c r="AN230">
        <v>1</v>
      </c>
      <c r="AO230" s="3"/>
      <c r="AT230" t="b">
        <v>0</v>
      </c>
      <c r="AU230" t="s">
        <v>74</v>
      </c>
      <c r="AV230" t="b">
        <v>1</v>
      </c>
      <c r="AW230" t="b">
        <v>0</v>
      </c>
      <c r="AX230" s="5">
        <v>0</v>
      </c>
      <c r="AY230" s="3"/>
      <c r="AZ230" t="s">
        <v>67</v>
      </c>
      <c r="BA230" t="s">
        <v>67</v>
      </c>
      <c r="BB230" t="s">
        <v>317</v>
      </c>
    </row>
    <row r="231" spans="1:54" x14ac:dyDescent="0.3">
      <c r="A231">
        <v>1</v>
      </c>
      <c r="B231">
        <v>15</v>
      </c>
      <c r="C231" t="s">
        <v>54</v>
      </c>
      <c r="D231" s="3">
        <v>46150.685150462959</v>
      </c>
      <c r="E231" s="8">
        <v>46150</v>
      </c>
      <c r="F231" t="s">
        <v>1154</v>
      </c>
      <c r="G231" t="s">
        <v>307</v>
      </c>
      <c r="H231" t="s">
        <v>1155</v>
      </c>
      <c r="I231" t="s">
        <v>1156</v>
      </c>
      <c r="J231" t="s">
        <v>749</v>
      </c>
      <c r="L231" t="s">
        <v>751</v>
      </c>
      <c r="M231" t="s">
        <v>97</v>
      </c>
      <c r="N231" t="s">
        <v>97</v>
      </c>
      <c r="O231" t="s">
        <v>187</v>
      </c>
      <c r="P231" t="s">
        <v>188</v>
      </c>
      <c r="Q231" s="5">
        <v>1</v>
      </c>
      <c r="R231" s="6">
        <v>64.66</v>
      </c>
      <c r="S231" s="6">
        <v>64.66</v>
      </c>
      <c r="T231" s="6">
        <v>19.2</v>
      </c>
      <c r="U231" s="3">
        <v>46281.291666666657</v>
      </c>
      <c r="W231" t="s">
        <v>1157</v>
      </c>
      <c r="X231" t="s">
        <v>70</v>
      </c>
      <c r="Y231" t="s">
        <v>68</v>
      </c>
      <c r="Z231" t="s">
        <v>69</v>
      </c>
      <c r="AA231" t="s">
        <v>69</v>
      </c>
      <c r="AB231" t="s">
        <v>67</v>
      </c>
      <c r="AC231" t="s">
        <v>70</v>
      </c>
      <c r="AD231" t="s">
        <v>101</v>
      </c>
      <c r="AE231" t="s">
        <v>185</v>
      </c>
      <c r="AF231" t="s">
        <v>67</v>
      </c>
      <c r="AG231" t="s">
        <v>189</v>
      </c>
      <c r="AH231" t="b">
        <v>0</v>
      </c>
      <c r="AI231" t="b">
        <v>0</v>
      </c>
      <c r="AJ231" t="b">
        <v>0</v>
      </c>
      <c r="AK231" t="b">
        <v>0</v>
      </c>
      <c r="AL231" s="6">
        <v>19.2</v>
      </c>
      <c r="AM231" s="3">
        <v>46151.25</v>
      </c>
      <c r="AN231">
        <v>1</v>
      </c>
      <c r="AO231" s="3"/>
      <c r="AT231" t="b">
        <v>0</v>
      </c>
      <c r="AU231" t="s">
        <v>74</v>
      </c>
      <c r="AV231" t="b">
        <v>1</v>
      </c>
      <c r="AW231" t="b">
        <v>0</v>
      </c>
      <c r="AX231" s="5">
        <v>0</v>
      </c>
      <c r="AY231" s="3"/>
      <c r="AZ231" t="s">
        <v>67</v>
      </c>
      <c r="BA231" t="s">
        <v>67</v>
      </c>
      <c r="BB231" t="s">
        <v>317</v>
      </c>
    </row>
    <row r="232" spans="1:54" x14ac:dyDescent="0.3">
      <c r="A232">
        <v>1</v>
      </c>
      <c r="B232">
        <v>15</v>
      </c>
      <c r="C232" t="s">
        <v>54</v>
      </c>
      <c r="D232" s="3">
        <v>46153.612233796302</v>
      </c>
      <c r="E232" s="8">
        <v>46153</v>
      </c>
      <c r="F232" t="s">
        <v>1161</v>
      </c>
      <c r="G232" t="s">
        <v>307</v>
      </c>
      <c r="H232" t="s">
        <v>1162</v>
      </c>
      <c r="I232" t="s">
        <v>1163</v>
      </c>
      <c r="J232" t="s">
        <v>59</v>
      </c>
      <c r="K232" t="s">
        <v>1164</v>
      </c>
      <c r="L232" t="s">
        <v>61</v>
      </c>
      <c r="M232" t="s">
        <v>63</v>
      </c>
      <c r="N232" t="s">
        <v>63</v>
      </c>
      <c r="O232" t="s">
        <v>271</v>
      </c>
      <c r="P232" t="s">
        <v>272</v>
      </c>
      <c r="Q232" s="5">
        <v>1</v>
      </c>
      <c r="R232" s="6">
        <v>79</v>
      </c>
      <c r="S232" s="6">
        <v>79</v>
      </c>
      <c r="T232" s="6">
        <v>28.4</v>
      </c>
      <c r="U232" s="3">
        <v>46153.458333333343</v>
      </c>
      <c r="W232" t="s">
        <v>1165</v>
      </c>
      <c r="X232" t="s">
        <v>67</v>
      </c>
      <c r="Y232" t="s">
        <v>68</v>
      </c>
      <c r="Z232" t="s">
        <v>69</v>
      </c>
      <c r="AA232" t="s">
        <v>69</v>
      </c>
      <c r="AB232" t="s">
        <v>67</v>
      </c>
      <c r="AC232" t="s">
        <v>70</v>
      </c>
      <c r="AD232" t="s">
        <v>71</v>
      </c>
      <c r="AE232" t="s">
        <v>185</v>
      </c>
      <c r="AF232" t="s">
        <v>67</v>
      </c>
      <c r="AG232" t="s">
        <v>273</v>
      </c>
      <c r="AH232" t="b">
        <v>0</v>
      </c>
      <c r="AI232" t="b">
        <v>0</v>
      </c>
      <c r="AJ232" t="b">
        <v>0</v>
      </c>
      <c r="AK232" t="b">
        <v>0</v>
      </c>
      <c r="AL232" s="6">
        <v>28.4</v>
      </c>
      <c r="AM232" s="3">
        <v>46153.458333333343</v>
      </c>
      <c r="AN232">
        <v>1</v>
      </c>
      <c r="AO232" s="3"/>
      <c r="AT232" t="b">
        <v>0</v>
      </c>
      <c r="AU232" t="s">
        <v>74</v>
      </c>
      <c r="AV232" t="b">
        <v>1</v>
      </c>
      <c r="AW232" t="b">
        <v>0</v>
      </c>
      <c r="AX232" s="5">
        <v>0</v>
      </c>
      <c r="AY232" s="3"/>
      <c r="AZ232" t="s">
        <v>67</v>
      </c>
      <c r="BA232" t="s">
        <v>67</v>
      </c>
      <c r="BB232" t="s">
        <v>317</v>
      </c>
    </row>
    <row r="233" spans="1:54" x14ac:dyDescent="0.3">
      <c r="A233">
        <v>1</v>
      </c>
      <c r="B233">
        <v>15</v>
      </c>
      <c r="C233" t="s">
        <v>54</v>
      </c>
      <c r="D233" s="3">
        <v>46168.583171296297</v>
      </c>
      <c r="E233" s="8">
        <v>46168</v>
      </c>
      <c r="F233" t="s">
        <v>1166</v>
      </c>
      <c r="G233" t="s">
        <v>307</v>
      </c>
      <c r="H233" t="s">
        <v>1167</v>
      </c>
      <c r="I233" t="s">
        <v>1168</v>
      </c>
      <c r="J233" t="s">
        <v>1044</v>
      </c>
      <c r="K233" t="s">
        <v>1169</v>
      </c>
      <c r="L233" t="s">
        <v>1045</v>
      </c>
      <c r="M233" t="s">
        <v>1046</v>
      </c>
      <c r="N233" t="s">
        <v>1046</v>
      </c>
      <c r="O233" t="s">
        <v>752</v>
      </c>
      <c r="P233" t="s">
        <v>753</v>
      </c>
      <c r="Q233" s="5">
        <v>1</v>
      </c>
      <c r="R233" s="6">
        <v>80</v>
      </c>
      <c r="S233" s="6">
        <v>80</v>
      </c>
      <c r="T233" s="6">
        <v>0</v>
      </c>
      <c r="U233" s="3">
        <v>46342.3125</v>
      </c>
      <c r="W233" t="s">
        <v>1170</v>
      </c>
      <c r="X233" t="s">
        <v>70</v>
      </c>
      <c r="Y233" t="s">
        <v>23</v>
      </c>
      <c r="Z233" t="s">
        <v>69</v>
      </c>
      <c r="AA233" t="s">
        <v>69</v>
      </c>
      <c r="AB233" t="s">
        <v>67</v>
      </c>
      <c r="AC233" t="s">
        <v>70</v>
      </c>
      <c r="AD233" t="s">
        <v>1049</v>
      </c>
      <c r="AE233" t="s">
        <v>102</v>
      </c>
      <c r="AF233" t="s">
        <v>67</v>
      </c>
      <c r="AG233" t="s">
        <v>752</v>
      </c>
      <c r="AH233" t="b">
        <v>0</v>
      </c>
      <c r="AI233" t="b">
        <v>0</v>
      </c>
      <c r="AJ233" t="b">
        <v>0</v>
      </c>
      <c r="AK233" t="b">
        <v>0</v>
      </c>
      <c r="AL233" s="6">
        <v>0</v>
      </c>
      <c r="AM233" s="3">
        <v>46342.3125</v>
      </c>
      <c r="AN233">
        <v>1</v>
      </c>
      <c r="AO233" s="3"/>
      <c r="AT233" t="b">
        <v>0</v>
      </c>
      <c r="AU233" t="s">
        <v>74</v>
      </c>
      <c r="AV233" t="b">
        <v>1</v>
      </c>
      <c r="AW233" t="b">
        <v>0</v>
      </c>
      <c r="AX233" s="5">
        <v>0</v>
      </c>
      <c r="AY233" s="3"/>
      <c r="AZ233" t="s">
        <v>67</v>
      </c>
      <c r="BA233" t="s">
        <v>67</v>
      </c>
      <c r="BB233" t="s">
        <v>317</v>
      </c>
    </row>
    <row r="234" spans="1:54" x14ac:dyDescent="0.3">
      <c r="A234">
        <v>1</v>
      </c>
      <c r="B234">
        <v>15</v>
      </c>
      <c r="C234" t="s">
        <v>54</v>
      </c>
      <c r="D234" s="3">
        <v>46168.69431712963</v>
      </c>
      <c r="E234" s="8">
        <v>46168</v>
      </c>
      <c r="F234" t="s">
        <v>1171</v>
      </c>
      <c r="G234" t="s">
        <v>307</v>
      </c>
      <c r="H234" t="s">
        <v>1172</v>
      </c>
      <c r="I234" t="s">
        <v>1173</v>
      </c>
      <c r="J234" t="s">
        <v>1044</v>
      </c>
      <c r="L234" t="s">
        <v>1045</v>
      </c>
      <c r="M234" t="s">
        <v>1046</v>
      </c>
      <c r="N234" t="s">
        <v>1046</v>
      </c>
      <c r="O234" t="s">
        <v>752</v>
      </c>
      <c r="P234" t="s">
        <v>753</v>
      </c>
      <c r="Q234" s="5">
        <v>1</v>
      </c>
      <c r="R234" s="6">
        <v>80</v>
      </c>
      <c r="S234" s="6">
        <v>80</v>
      </c>
      <c r="T234" s="6">
        <v>0</v>
      </c>
      <c r="U234" s="3">
        <v>46168.565972222219</v>
      </c>
      <c r="X234" t="s">
        <v>70</v>
      </c>
      <c r="Y234" t="s">
        <v>23</v>
      </c>
      <c r="Z234" t="s">
        <v>69</v>
      </c>
      <c r="AA234" t="s">
        <v>69</v>
      </c>
      <c r="AB234" t="s">
        <v>67</v>
      </c>
      <c r="AC234" t="s">
        <v>70</v>
      </c>
      <c r="AD234" t="s">
        <v>1049</v>
      </c>
      <c r="AE234" t="s">
        <v>102</v>
      </c>
      <c r="AF234" t="s">
        <v>67</v>
      </c>
      <c r="AG234" t="s">
        <v>752</v>
      </c>
      <c r="AH234" t="b">
        <v>0</v>
      </c>
      <c r="AI234" t="b">
        <v>0</v>
      </c>
      <c r="AJ234" t="b">
        <v>0</v>
      </c>
      <c r="AK234" t="b">
        <v>0</v>
      </c>
      <c r="AL234" s="6">
        <v>0</v>
      </c>
      <c r="AM234" s="3">
        <v>46168.565972222219</v>
      </c>
      <c r="AN234">
        <v>1</v>
      </c>
      <c r="AO234" s="3"/>
      <c r="AT234" t="b">
        <v>0</v>
      </c>
      <c r="AU234" t="s">
        <v>74</v>
      </c>
      <c r="AV234" t="b">
        <v>1</v>
      </c>
      <c r="AW234" t="b">
        <v>0</v>
      </c>
      <c r="AX234" s="5">
        <v>0</v>
      </c>
      <c r="AY234" s="3"/>
      <c r="AZ234" t="s">
        <v>67</v>
      </c>
      <c r="BA234" t="s">
        <v>67</v>
      </c>
      <c r="BB234" t="s">
        <v>317</v>
      </c>
    </row>
    <row r="235" spans="1:54" x14ac:dyDescent="0.3">
      <c r="A235">
        <v>1</v>
      </c>
      <c r="B235">
        <v>15</v>
      </c>
      <c r="C235" t="s">
        <v>54</v>
      </c>
      <c r="D235" s="3">
        <v>46241.616770833331</v>
      </c>
      <c r="E235" s="8">
        <v>46241</v>
      </c>
      <c r="F235" t="s">
        <v>1174</v>
      </c>
      <c r="G235" t="s">
        <v>307</v>
      </c>
      <c r="H235" t="s">
        <v>1175</v>
      </c>
      <c r="I235" t="s">
        <v>1176</v>
      </c>
      <c r="J235" t="s">
        <v>230</v>
      </c>
      <c r="L235" t="s">
        <v>231</v>
      </c>
      <c r="M235" t="s">
        <v>232</v>
      </c>
      <c r="N235" t="s">
        <v>232</v>
      </c>
      <c r="O235" t="s">
        <v>233</v>
      </c>
      <c r="P235" t="s">
        <v>234</v>
      </c>
      <c r="Q235" s="5">
        <v>1</v>
      </c>
      <c r="R235" s="6">
        <v>190</v>
      </c>
      <c r="S235" s="6">
        <v>190</v>
      </c>
      <c r="T235" s="6">
        <v>126.55</v>
      </c>
      <c r="U235" s="3">
        <v>46241.458333333343</v>
      </c>
      <c r="X235" t="s">
        <v>67</v>
      </c>
      <c r="Y235" t="s">
        <v>68</v>
      </c>
      <c r="Z235" t="s">
        <v>521</v>
      </c>
      <c r="AA235" t="s">
        <v>522</v>
      </c>
      <c r="AB235" t="s">
        <v>67</v>
      </c>
      <c r="AC235" t="s">
        <v>70</v>
      </c>
      <c r="AD235" t="s">
        <v>235</v>
      </c>
      <c r="AE235" t="s">
        <v>236</v>
      </c>
      <c r="AF235" t="s">
        <v>67</v>
      </c>
      <c r="AG235" t="s">
        <v>233</v>
      </c>
      <c r="AH235" t="b">
        <v>0</v>
      </c>
      <c r="AI235" t="b">
        <v>0</v>
      </c>
      <c r="AJ235" t="b">
        <v>0</v>
      </c>
      <c r="AK235" t="b">
        <v>0</v>
      </c>
      <c r="AL235" s="6">
        <v>126.55</v>
      </c>
      <c r="AM235" s="3">
        <v>46241.458333333343</v>
      </c>
      <c r="AN235">
        <v>1</v>
      </c>
      <c r="AO235" s="3"/>
      <c r="AT235" t="b">
        <v>0</v>
      </c>
      <c r="AU235" t="s">
        <v>74</v>
      </c>
      <c r="AV235" t="b">
        <v>1</v>
      </c>
      <c r="AW235" t="b">
        <v>0</v>
      </c>
      <c r="AX235" s="5">
        <v>0</v>
      </c>
      <c r="AY235" s="3"/>
      <c r="AZ235" t="s">
        <v>67</v>
      </c>
      <c r="BA235" t="s">
        <v>67</v>
      </c>
      <c r="BB235" t="s">
        <v>317</v>
      </c>
    </row>
    <row r="236" spans="1:54" x14ac:dyDescent="0.3">
      <c r="A236">
        <v>1</v>
      </c>
      <c r="B236">
        <v>15</v>
      </c>
      <c r="C236" t="s">
        <v>54</v>
      </c>
      <c r="D236" s="3">
        <v>46242.477060185192</v>
      </c>
      <c r="E236" s="8">
        <v>46242</v>
      </c>
      <c r="F236" t="s">
        <v>1177</v>
      </c>
      <c r="G236" t="s">
        <v>307</v>
      </c>
      <c r="H236" t="s">
        <v>1178</v>
      </c>
      <c r="I236" t="s">
        <v>1179</v>
      </c>
      <c r="J236" t="s">
        <v>749</v>
      </c>
      <c r="K236" t="s">
        <v>1180</v>
      </c>
      <c r="L236" t="s">
        <v>1071</v>
      </c>
      <c r="M236" t="s">
        <v>97</v>
      </c>
      <c r="N236" t="s">
        <v>97</v>
      </c>
      <c r="O236" t="s">
        <v>98</v>
      </c>
      <c r="P236" t="s">
        <v>99</v>
      </c>
      <c r="Q236" s="5">
        <v>1</v>
      </c>
      <c r="R236" s="6">
        <v>736</v>
      </c>
      <c r="S236" s="6">
        <v>736</v>
      </c>
      <c r="T236" s="6">
        <v>460</v>
      </c>
      <c r="U236" s="3">
        <v>46332.25</v>
      </c>
      <c r="W236" t="s">
        <v>1181</v>
      </c>
      <c r="X236" t="s">
        <v>70</v>
      </c>
      <c r="Y236" t="s">
        <v>23</v>
      </c>
      <c r="Z236" t="s">
        <v>69</v>
      </c>
      <c r="AA236" t="s">
        <v>69</v>
      </c>
      <c r="AB236" t="s">
        <v>67</v>
      </c>
      <c r="AC236" t="s">
        <v>70</v>
      </c>
      <c r="AD236" t="s">
        <v>101</v>
      </c>
      <c r="AE236" t="s">
        <v>102</v>
      </c>
      <c r="AF236" t="s">
        <v>67</v>
      </c>
      <c r="AH236" t="b">
        <v>0</v>
      </c>
      <c r="AI236" t="b">
        <v>0</v>
      </c>
      <c r="AJ236" t="b">
        <v>0</v>
      </c>
      <c r="AK236" t="b">
        <v>0</v>
      </c>
      <c r="AL236" s="6">
        <v>460</v>
      </c>
      <c r="AM236" s="3">
        <v>46332.25</v>
      </c>
      <c r="AN236">
        <v>1</v>
      </c>
      <c r="AO236" s="3"/>
      <c r="AP236" t="s">
        <v>112</v>
      </c>
      <c r="AQ236" t="s">
        <v>112</v>
      </c>
      <c r="AR236" t="s">
        <v>203</v>
      </c>
      <c r="AS236">
        <v>1</v>
      </c>
      <c r="AT236" t="b">
        <v>0</v>
      </c>
      <c r="AU236" t="s">
        <v>114</v>
      </c>
      <c r="AV236" t="b">
        <v>1</v>
      </c>
      <c r="AW236" t="b">
        <v>0</v>
      </c>
      <c r="AX236" s="5">
        <v>0</v>
      </c>
      <c r="AY236" s="3"/>
      <c r="AZ236" t="s">
        <v>67</v>
      </c>
      <c r="BA236" t="s">
        <v>67</v>
      </c>
      <c r="BB236" t="s">
        <v>997</v>
      </c>
    </row>
    <row r="237" spans="1:54" x14ac:dyDescent="0.3">
      <c r="A237">
        <v>1</v>
      </c>
      <c r="B237">
        <v>15</v>
      </c>
      <c r="C237" t="s">
        <v>54</v>
      </c>
      <c r="D237" s="3">
        <v>46245.542442129627</v>
      </c>
      <c r="E237" s="8">
        <v>46270</v>
      </c>
      <c r="F237" t="s">
        <v>1182</v>
      </c>
      <c r="G237" t="s">
        <v>307</v>
      </c>
      <c r="H237" t="s">
        <v>1183</v>
      </c>
      <c r="I237" t="s">
        <v>1184</v>
      </c>
      <c r="J237" t="s">
        <v>59</v>
      </c>
      <c r="K237" t="s">
        <v>1185</v>
      </c>
      <c r="L237" t="s">
        <v>61</v>
      </c>
      <c r="M237" t="s">
        <v>62</v>
      </c>
      <c r="O237" t="s">
        <v>82</v>
      </c>
      <c r="P237" t="s">
        <v>83</v>
      </c>
      <c r="Q237" s="5">
        <v>1</v>
      </c>
      <c r="R237" s="6">
        <v>140</v>
      </c>
      <c r="S237" s="6">
        <v>140</v>
      </c>
      <c r="T237" s="6">
        <v>93.1</v>
      </c>
      <c r="U237" s="3">
        <v>46316.25</v>
      </c>
      <c r="W237" t="s">
        <v>1186</v>
      </c>
      <c r="X237" t="s">
        <v>67</v>
      </c>
      <c r="Y237" t="s">
        <v>68</v>
      </c>
      <c r="Z237" t="s">
        <v>69</v>
      </c>
      <c r="AA237" t="s">
        <v>69</v>
      </c>
      <c r="AB237" t="s">
        <v>70</v>
      </c>
      <c r="AC237" t="s">
        <v>67</v>
      </c>
      <c r="AD237" t="s">
        <v>71</v>
      </c>
      <c r="AE237" t="s">
        <v>84</v>
      </c>
      <c r="AF237" t="s">
        <v>67</v>
      </c>
      <c r="AG237" t="s">
        <v>82</v>
      </c>
      <c r="AH237" t="b">
        <v>0</v>
      </c>
      <c r="AI237" t="b">
        <v>0</v>
      </c>
      <c r="AJ237" t="b">
        <v>0</v>
      </c>
      <c r="AK237" t="b">
        <v>0</v>
      </c>
      <c r="AL237" s="6">
        <v>93.1</v>
      </c>
      <c r="AM237" s="3">
        <v>46280.333333333343</v>
      </c>
      <c r="AN237">
        <v>1</v>
      </c>
      <c r="AO237" s="3"/>
      <c r="AT237" t="b">
        <v>0</v>
      </c>
      <c r="AU237" t="s">
        <v>74</v>
      </c>
      <c r="AV237" t="b">
        <v>1</v>
      </c>
      <c r="AW237" t="b">
        <v>0</v>
      </c>
      <c r="AX237" s="5">
        <v>0</v>
      </c>
      <c r="AY237" s="3"/>
      <c r="AZ237" t="s">
        <v>67</v>
      </c>
      <c r="BA237" t="s">
        <v>67</v>
      </c>
      <c r="BB237" t="s">
        <v>317</v>
      </c>
    </row>
    <row r="238" spans="1:54" x14ac:dyDescent="0.3">
      <c r="A238">
        <v>1</v>
      </c>
      <c r="B238">
        <v>15</v>
      </c>
      <c r="C238" t="s">
        <v>54</v>
      </c>
      <c r="D238" s="3">
        <v>46245.542442129627</v>
      </c>
      <c r="E238" s="8">
        <v>46270</v>
      </c>
      <c r="F238" t="s">
        <v>1182</v>
      </c>
      <c r="G238" t="s">
        <v>307</v>
      </c>
      <c r="H238" t="s">
        <v>1183</v>
      </c>
      <c r="I238" t="s">
        <v>1184</v>
      </c>
      <c r="J238" t="s">
        <v>59</v>
      </c>
      <c r="K238" t="s">
        <v>1185</v>
      </c>
      <c r="L238" t="s">
        <v>61</v>
      </c>
      <c r="M238" t="s">
        <v>62</v>
      </c>
      <c r="O238" t="s">
        <v>115</v>
      </c>
      <c r="P238" t="s">
        <v>116</v>
      </c>
      <c r="Q238" s="5">
        <v>2</v>
      </c>
      <c r="R238" s="6">
        <v>64</v>
      </c>
      <c r="S238" s="6">
        <v>128</v>
      </c>
      <c r="T238" s="6">
        <v>46.5</v>
      </c>
      <c r="U238" s="3">
        <v>46316.25</v>
      </c>
      <c r="W238" t="s">
        <v>1186</v>
      </c>
      <c r="X238" t="s">
        <v>67</v>
      </c>
      <c r="Y238" t="s">
        <v>68</v>
      </c>
      <c r="Z238" t="s">
        <v>69</v>
      </c>
      <c r="AA238" t="s">
        <v>69</v>
      </c>
      <c r="AB238" t="s">
        <v>70</v>
      </c>
      <c r="AC238" t="s">
        <v>67</v>
      </c>
      <c r="AD238" t="s">
        <v>71</v>
      </c>
      <c r="AE238" t="s">
        <v>110</v>
      </c>
      <c r="AF238" t="s">
        <v>67</v>
      </c>
      <c r="AG238" t="s">
        <v>117</v>
      </c>
      <c r="AH238" t="b">
        <v>0</v>
      </c>
      <c r="AI238" t="b">
        <v>0</v>
      </c>
      <c r="AJ238" t="b">
        <v>0</v>
      </c>
      <c r="AK238" t="b">
        <v>0</v>
      </c>
      <c r="AL238" s="6">
        <v>23.25</v>
      </c>
      <c r="AM238" s="3">
        <v>46280.333333333343</v>
      </c>
      <c r="AN238">
        <v>1</v>
      </c>
      <c r="AO238" s="3"/>
      <c r="AT238" t="b">
        <v>0</v>
      </c>
      <c r="AU238" t="s">
        <v>74</v>
      </c>
      <c r="AV238" t="b">
        <v>1</v>
      </c>
      <c r="AW238" t="b">
        <v>0</v>
      </c>
      <c r="AX238" s="5">
        <v>0</v>
      </c>
      <c r="AY238" s="3"/>
      <c r="AZ238" t="s">
        <v>67</v>
      </c>
      <c r="BA238" t="s">
        <v>67</v>
      </c>
      <c r="BB238" t="s">
        <v>317</v>
      </c>
    </row>
    <row r="239" spans="1:54" x14ac:dyDescent="0.3">
      <c r="A239">
        <v>1</v>
      </c>
      <c r="B239">
        <v>15</v>
      </c>
      <c r="C239" t="s">
        <v>54</v>
      </c>
      <c r="D239" s="3">
        <v>46245.542442129627</v>
      </c>
      <c r="E239" s="8">
        <v>46270</v>
      </c>
      <c r="F239" t="s">
        <v>1182</v>
      </c>
      <c r="G239" t="s">
        <v>307</v>
      </c>
      <c r="H239" t="s">
        <v>1183</v>
      </c>
      <c r="I239" t="s">
        <v>1184</v>
      </c>
      <c r="J239" t="s">
        <v>59</v>
      </c>
      <c r="K239" t="s">
        <v>1185</v>
      </c>
      <c r="L239" t="s">
        <v>61</v>
      </c>
      <c r="M239" t="s">
        <v>62</v>
      </c>
      <c r="O239" t="s">
        <v>1187</v>
      </c>
      <c r="P239" t="s">
        <v>1188</v>
      </c>
      <c r="Q239" s="5">
        <v>2</v>
      </c>
      <c r="R239" s="6">
        <v>520</v>
      </c>
      <c r="S239" s="6">
        <v>1040</v>
      </c>
      <c r="T239" s="6">
        <v>203.14</v>
      </c>
      <c r="U239" s="3">
        <v>46316.25</v>
      </c>
      <c r="W239" t="s">
        <v>1186</v>
      </c>
      <c r="X239" t="s">
        <v>67</v>
      </c>
      <c r="Y239" t="s">
        <v>68</v>
      </c>
      <c r="Z239" t="s">
        <v>69</v>
      </c>
      <c r="AA239" t="s">
        <v>69</v>
      </c>
      <c r="AB239" t="s">
        <v>70</v>
      </c>
      <c r="AC239" t="s">
        <v>67</v>
      </c>
      <c r="AD239" t="s">
        <v>71</v>
      </c>
      <c r="AE239" t="s">
        <v>110</v>
      </c>
      <c r="AF239" t="s">
        <v>67</v>
      </c>
      <c r="AG239" t="s">
        <v>1189</v>
      </c>
      <c r="AH239" t="b">
        <v>0</v>
      </c>
      <c r="AI239" t="b">
        <v>0</v>
      </c>
      <c r="AJ239" t="b">
        <v>0</v>
      </c>
      <c r="AK239" t="b">
        <v>0</v>
      </c>
      <c r="AL239" s="6">
        <v>101.57</v>
      </c>
      <c r="AM239" s="3">
        <v>46280.333333333343</v>
      </c>
      <c r="AN239">
        <v>1</v>
      </c>
      <c r="AO239" s="3"/>
      <c r="AT239" t="b">
        <v>0</v>
      </c>
      <c r="AU239" t="s">
        <v>74</v>
      </c>
      <c r="AV239" t="b">
        <v>1</v>
      </c>
      <c r="AW239" t="b">
        <v>0</v>
      </c>
      <c r="AX239" s="5">
        <v>0</v>
      </c>
      <c r="AY239" s="3"/>
      <c r="AZ239" t="s">
        <v>67</v>
      </c>
      <c r="BA239" t="s">
        <v>67</v>
      </c>
      <c r="BB239" t="s">
        <v>317</v>
      </c>
    </row>
    <row r="240" spans="1:54" x14ac:dyDescent="0.3">
      <c r="A240">
        <v>1</v>
      </c>
      <c r="B240">
        <v>15</v>
      </c>
      <c r="C240" t="s">
        <v>54</v>
      </c>
      <c r="D240" s="3">
        <v>46266.597395833327</v>
      </c>
      <c r="E240" s="8">
        <v>46266</v>
      </c>
      <c r="F240" t="s">
        <v>1190</v>
      </c>
      <c r="G240" t="s">
        <v>307</v>
      </c>
      <c r="H240" t="s">
        <v>1191</v>
      </c>
      <c r="I240" t="s">
        <v>1192</v>
      </c>
      <c r="J240" t="s">
        <v>94</v>
      </c>
      <c r="K240" t="s">
        <v>1193</v>
      </c>
      <c r="L240" t="s">
        <v>96</v>
      </c>
      <c r="M240" t="s">
        <v>97</v>
      </c>
      <c r="N240" t="s">
        <v>97</v>
      </c>
      <c r="O240" t="s">
        <v>98</v>
      </c>
      <c r="P240" t="s">
        <v>99</v>
      </c>
      <c r="Q240" s="5">
        <v>1</v>
      </c>
      <c r="R240" s="6">
        <v>736</v>
      </c>
      <c r="S240" s="6">
        <v>736</v>
      </c>
      <c r="T240" s="6">
        <v>460</v>
      </c>
      <c r="U240" s="3">
        <v>46302.25</v>
      </c>
      <c r="W240" t="s">
        <v>1194</v>
      </c>
      <c r="X240" t="s">
        <v>70</v>
      </c>
      <c r="Y240" t="s">
        <v>23</v>
      </c>
      <c r="Z240" t="s">
        <v>69</v>
      </c>
      <c r="AA240" t="s">
        <v>69</v>
      </c>
      <c r="AB240" t="s">
        <v>67</v>
      </c>
      <c r="AC240" t="s">
        <v>70</v>
      </c>
      <c r="AD240" t="s">
        <v>101</v>
      </c>
      <c r="AE240" t="s">
        <v>102</v>
      </c>
      <c r="AF240" t="s">
        <v>67</v>
      </c>
      <c r="AH240" t="b">
        <v>0</v>
      </c>
      <c r="AI240" t="b">
        <v>0</v>
      </c>
      <c r="AJ240" t="b">
        <v>0</v>
      </c>
      <c r="AK240" t="b">
        <v>0</v>
      </c>
      <c r="AL240" s="6">
        <v>460</v>
      </c>
      <c r="AM240" s="3">
        <v>46302.25</v>
      </c>
      <c r="AN240">
        <v>1</v>
      </c>
      <c r="AO240" s="3"/>
      <c r="AT240" t="b">
        <v>0</v>
      </c>
      <c r="AU240" t="s">
        <v>74</v>
      </c>
      <c r="AV240" t="b">
        <v>1</v>
      </c>
      <c r="AW240" t="b">
        <v>0</v>
      </c>
      <c r="AX240" s="5">
        <v>0</v>
      </c>
      <c r="AY240" s="3"/>
      <c r="AZ240" t="s">
        <v>67</v>
      </c>
      <c r="BA240" t="s">
        <v>67</v>
      </c>
      <c r="BB240" t="s">
        <v>317</v>
      </c>
    </row>
    <row r="241" spans="1:54" x14ac:dyDescent="0.3">
      <c r="A241">
        <v>1</v>
      </c>
      <c r="B241">
        <v>15</v>
      </c>
      <c r="C241" t="s">
        <v>54</v>
      </c>
      <c r="D241" s="3">
        <v>46266.659351851849</v>
      </c>
      <c r="E241" s="8">
        <v>46266</v>
      </c>
      <c r="F241" t="s">
        <v>1195</v>
      </c>
      <c r="G241" t="s">
        <v>307</v>
      </c>
      <c r="H241" t="s">
        <v>1196</v>
      </c>
      <c r="I241" t="s">
        <v>1197</v>
      </c>
      <c r="J241" t="s">
        <v>94</v>
      </c>
      <c r="K241" t="s">
        <v>1198</v>
      </c>
      <c r="L241" t="s">
        <v>96</v>
      </c>
      <c r="M241" t="s">
        <v>97</v>
      </c>
      <c r="N241" t="s">
        <v>97</v>
      </c>
      <c r="O241" t="s">
        <v>98</v>
      </c>
      <c r="P241" t="s">
        <v>99</v>
      </c>
      <c r="Q241" s="5">
        <v>2</v>
      </c>
      <c r="R241" s="6">
        <v>736</v>
      </c>
      <c r="S241" s="6">
        <v>1472</v>
      </c>
      <c r="T241" s="6">
        <v>920</v>
      </c>
      <c r="U241" s="3">
        <v>46302.25</v>
      </c>
      <c r="W241" t="s">
        <v>1199</v>
      </c>
      <c r="X241" t="s">
        <v>70</v>
      </c>
      <c r="Y241" t="s">
        <v>23</v>
      </c>
      <c r="Z241" t="s">
        <v>69</v>
      </c>
      <c r="AA241" t="s">
        <v>69</v>
      </c>
      <c r="AB241" t="s">
        <v>67</v>
      </c>
      <c r="AC241" t="s">
        <v>67</v>
      </c>
      <c r="AD241" t="s">
        <v>101</v>
      </c>
      <c r="AE241" t="s">
        <v>102</v>
      </c>
      <c r="AF241" t="s">
        <v>67</v>
      </c>
      <c r="AH241" t="b">
        <v>0</v>
      </c>
      <c r="AI241" t="b">
        <v>0</v>
      </c>
      <c r="AJ241" t="b">
        <v>0</v>
      </c>
      <c r="AK241" t="b">
        <v>0</v>
      </c>
      <c r="AL241" s="6">
        <v>460</v>
      </c>
      <c r="AM241" s="3">
        <v>46302.25</v>
      </c>
      <c r="AN241">
        <v>1</v>
      </c>
      <c r="AO241" s="3"/>
      <c r="AT241" t="b">
        <v>0</v>
      </c>
      <c r="AU241" t="s">
        <v>74</v>
      </c>
      <c r="AV241" t="b">
        <v>1</v>
      </c>
      <c r="AW241" t="b">
        <v>0</v>
      </c>
      <c r="AX241" s="5">
        <v>0</v>
      </c>
      <c r="AY241" s="3"/>
      <c r="AZ241" t="s">
        <v>67</v>
      </c>
      <c r="BA241" t="s">
        <v>67</v>
      </c>
      <c r="BB241" t="s">
        <v>317</v>
      </c>
    </row>
    <row r="242" spans="1:54" x14ac:dyDescent="0.3">
      <c r="A242">
        <v>1</v>
      </c>
      <c r="B242">
        <v>15</v>
      </c>
      <c r="C242" t="s">
        <v>54</v>
      </c>
      <c r="D242" s="3">
        <v>46266.72960648148</v>
      </c>
      <c r="E242" s="8">
        <v>46266</v>
      </c>
      <c r="F242" t="s">
        <v>1200</v>
      </c>
      <c r="G242" t="s">
        <v>307</v>
      </c>
      <c r="H242" t="s">
        <v>1201</v>
      </c>
      <c r="I242" t="s">
        <v>1202</v>
      </c>
      <c r="J242" t="s">
        <v>94</v>
      </c>
      <c r="K242" t="s">
        <v>1203</v>
      </c>
      <c r="L242" t="s">
        <v>96</v>
      </c>
      <c r="M242" t="s">
        <v>97</v>
      </c>
      <c r="N242" t="s">
        <v>97</v>
      </c>
      <c r="O242" t="s">
        <v>1204</v>
      </c>
      <c r="P242" t="s">
        <v>1205</v>
      </c>
      <c r="Q242" s="5">
        <v>1</v>
      </c>
      <c r="R242" s="6">
        <v>131.76</v>
      </c>
      <c r="S242" s="6">
        <v>131.76</v>
      </c>
      <c r="T242" s="6">
        <v>39.200000000000003</v>
      </c>
      <c r="U242" s="3">
        <v>46301.541666666657</v>
      </c>
      <c r="W242" t="s">
        <v>1206</v>
      </c>
      <c r="X242" t="s">
        <v>67</v>
      </c>
      <c r="Y242" t="s">
        <v>68</v>
      </c>
      <c r="Z242" t="s">
        <v>69</v>
      </c>
      <c r="AA242" t="s">
        <v>69</v>
      </c>
      <c r="AB242" t="s">
        <v>67</v>
      </c>
      <c r="AC242" t="s">
        <v>67</v>
      </c>
      <c r="AD242" t="s">
        <v>101</v>
      </c>
      <c r="AE242" t="s">
        <v>185</v>
      </c>
      <c r="AF242" t="s">
        <v>67</v>
      </c>
      <c r="AG242" t="s">
        <v>1207</v>
      </c>
      <c r="AH242" t="b">
        <v>0</v>
      </c>
      <c r="AI242" t="b">
        <v>0</v>
      </c>
      <c r="AJ242" t="b">
        <v>0</v>
      </c>
      <c r="AK242" t="b">
        <v>0</v>
      </c>
      <c r="AL242" s="6">
        <v>39.200000000000003</v>
      </c>
      <c r="AM242" s="3">
        <v>46301.541666666657</v>
      </c>
      <c r="AN242">
        <v>1</v>
      </c>
      <c r="AO242" s="3"/>
      <c r="AT242" t="b">
        <v>0</v>
      </c>
      <c r="AU242" t="s">
        <v>74</v>
      </c>
      <c r="AV242" t="b">
        <v>1</v>
      </c>
      <c r="AW242" t="b">
        <v>0</v>
      </c>
      <c r="AX242" s="5">
        <v>0</v>
      </c>
      <c r="AY242" s="3"/>
      <c r="AZ242" t="s">
        <v>67</v>
      </c>
      <c r="BA242" t="s">
        <v>67</v>
      </c>
      <c r="BB242" t="s">
        <v>317</v>
      </c>
    </row>
    <row r="243" spans="1:54" x14ac:dyDescent="0.3">
      <c r="A243">
        <v>1</v>
      </c>
      <c r="B243">
        <v>15</v>
      </c>
      <c r="C243" t="s">
        <v>54</v>
      </c>
      <c r="D243" s="3">
        <v>46267.464386574073</v>
      </c>
      <c r="E243" s="8">
        <v>46267</v>
      </c>
      <c r="F243" t="s">
        <v>1208</v>
      </c>
      <c r="G243" t="s">
        <v>307</v>
      </c>
      <c r="H243" t="s">
        <v>1209</v>
      </c>
      <c r="I243" t="s">
        <v>1210</v>
      </c>
      <c r="J243" t="s">
        <v>94</v>
      </c>
      <c r="K243" t="s">
        <v>1211</v>
      </c>
      <c r="L243" t="s">
        <v>96</v>
      </c>
      <c r="M243" t="s">
        <v>97</v>
      </c>
      <c r="N243" t="s">
        <v>97</v>
      </c>
      <c r="O243" t="s">
        <v>98</v>
      </c>
      <c r="P243" t="s">
        <v>99</v>
      </c>
      <c r="Q243" s="5">
        <v>1</v>
      </c>
      <c r="R243" s="6">
        <v>736</v>
      </c>
      <c r="S243" s="6">
        <v>736</v>
      </c>
      <c r="T243" s="6">
        <v>460</v>
      </c>
      <c r="U243" s="3">
        <v>46302.25</v>
      </c>
      <c r="W243" t="s">
        <v>1212</v>
      </c>
      <c r="X243" t="s">
        <v>70</v>
      </c>
      <c r="Y243" t="s">
        <v>23</v>
      </c>
      <c r="Z243" t="s">
        <v>69</v>
      </c>
      <c r="AA243" t="s">
        <v>69</v>
      </c>
      <c r="AB243" t="s">
        <v>70</v>
      </c>
      <c r="AC243" t="s">
        <v>67</v>
      </c>
      <c r="AD243" t="s">
        <v>101</v>
      </c>
      <c r="AE243" t="s">
        <v>102</v>
      </c>
      <c r="AF243" t="s">
        <v>67</v>
      </c>
      <c r="AH243" t="b">
        <v>0</v>
      </c>
      <c r="AI243" t="b">
        <v>0</v>
      </c>
      <c r="AJ243" t="b">
        <v>0</v>
      </c>
      <c r="AK243" t="b">
        <v>0</v>
      </c>
      <c r="AL243" s="6">
        <v>460</v>
      </c>
      <c r="AM243" s="3">
        <v>46302.25</v>
      </c>
      <c r="AN243">
        <v>1</v>
      </c>
      <c r="AO243" s="3"/>
      <c r="AT243" t="b">
        <v>0</v>
      </c>
      <c r="AU243" t="s">
        <v>74</v>
      </c>
      <c r="AV243" t="b">
        <v>1</v>
      </c>
      <c r="AW243" t="b">
        <v>0</v>
      </c>
      <c r="AX243" s="5">
        <v>0</v>
      </c>
      <c r="AY243" s="3"/>
      <c r="AZ243" t="s">
        <v>67</v>
      </c>
      <c r="BA243" t="s">
        <v>67</v>
      </c>
      <c r="BB243" t="s">
        <v>317</v>
      </c>
    </row>
    <row r="244" spans="1:54" x14ac:dyDescent="0.3">
      <c r="A244">
        <v>1</v>
      </c>
      <c r="B244">
        <v>15</v>
      </c>
      <c r="C244" t="s">
        <v>54</v>
      </c>
      <c r="D244" s="3">
        <v>46267.502951388888</v>
      </c>
      <c r="E244" s="8">
        <v>46267</v>
      </c>
      <c r="F244" t="s">
        <v>1213</v>
      </c>
      <c r="G244" t="s">
        <v>307</v>
      </c>
      <c r="H244" t="s">
        <v>1214</v>
      </c>
      <c r="I244" t="s">
        <v>1215</v>
      </c>
      <c r="J244" t="s">
        <v>230</v>
      </c>
      <c r="K244" t="s">
        <v>1216</v>
      </c>
      <c r="L244" t="s">
        <v>1217</v>
      </c>
      <c r="M244" t="s">
        <v>232</v>
      </c>
      <c r="O244" t="s">
        <v>1218</v>
      </c>
      <c r="P244" t="s">
        <v>1219</v>
      </c>
      <c r="Q244" s="5">
        <v>2</v>
      </c>
      <c r="R244" s="6">
        <v>315</v>
      </c>
      <c r="S244" s="6">
        <v>630</v>
      </c>
      <c r="T244" s="6">
        <v>420</v>
      </c>
      <c r="U244" s="3">
        <v>46302.25</v>
      </c>
      <c r="W244" t="s">
        <v>1220</v>
      </c>
      <c r="X244" t="s">
        <v>67</v>
      </c>
      <c r="Y244" t="s">
        <v>68</v>
      </c>
      <c r="Z244" t="s">
        <v>69</v>
      </c>
      <c r="AA244" t="s">
        <v>69</v>
      </c>
      <c r="AB244" t="s">
        <v>67</v>
      </c>
      <c r="AC244" t="s">
        <v>70</v>
      </c>
      <c r="AD244" t="s">
        <v>235</v>
      </c>
      <c r="AE244" t="s">
        <v>236</v>
      </c>
      <c r="AF244" t="s">
        <v>67</v>
      </c>
      <c r="AG244" t="s">
        <v>1218</v>
      </c>
      <c r="AH244" t="b">
        <v>0</v>
      </c>
      <c r="AI244" t="b">
        <v>0</v>
      </c>
      <c r="AJ244" t="b">
        <v>0</v>
      </c>
      <c r="AK244" t="b">
        <v>0</v>
      </c>
      <c r="AL244" s="6">
        <v>210</v>
      </c>
      <c r="AM244" s="3">
        <v>46302.25</v>
      </c>
      <c r="AN244">
        <v>1</v>
      </c>
      <c r="AO244" s="3"/>
      <c r="AT244" t="b">
        <v>0</v>
      </c>
      <c r="AU244" t="s">
        <v>74</v>
      </c>
      <c r="AV244" t="b">
        <v>1</v>
      </c>
      <c r="AW244" t="b">
        <v>0</v>
      </c>
      <c r="AX244" s="5">
        <v>0</v>
      </c>
      <c r="AY244" s="3"/>
      <c r="AZ244" t="s">
        <v>67</v>
      </c>
      <c r="BA244" t="s">
        <v>67</v>
      </c>
      <c r="BB244" t="s">
        <v>317</v>
      </c>
    </row>
    <row r="245" spans="1:54" x14ac:dyDescent="0.3">
      <c r="A245">
        <v>1</v>
      </c>
      <c r="B245">
        <v>15</v>
      </c>
      <c r="C245" t="s">
        <v>54</v>
      </c>
      <c r="D245" s="3">
        <v>46267.502951388888</v>
      </c>
      <c r="E245" s="8">
        <v>46267</v>
      </c>
      <c r="F245" t="s">
        <v>1213</v>
      </c>
      <c r="G245" t="s">
        <v>307</v>
      </c>
      <c r="H245" t="s">
        <v>1214</v>
      </c>
      <c r="I245" t="s">
        <v>1215</v>
      </c>
      <c r="J245" t="s">
        <v>230</v>
      </c>
      <c r="K245" t="s">
        <v>1216</v>
      </c>
      <c r="L245" t="s">
        <v>1217</v>
      </c>
      <c r="M245" t="s">
        <v>232</v>
      </c>
      <c r="O245" t="s">
        <v>302</v>
      </c>
      <c r="P245" t="s">
        <v>303</v>
      </c>
      <c r="Q245" s="5">
        <v>1</v>
      </c>
      <c r="R245" s="6">
        <v>70</v>
      </c>
      <c r="S245" s="6">
        <v>70</v>
      </c>
      <c r="T245" s="6">
        <v>46.53</v>
      </c>
      <c r="U245" s="3">
        <v>46302.25</v>
      </c>
      <c r="W245" t="s">
        <v>1220</v>
      </c>
      <c r="X245" t="s">
        <v>67</v>
      </c>
      <c r="Y245" t="s">
        <v>68</v>
      </c>
      <c r="Z245" t="s">
        <v>69</v>
      </c>
      <c r="AA245" t="s">
        <v>69</v>
      </c>
      <c r="AB245" t="s">
        <v>67</v>
      </c>
      <c r="AC245" t="s">
        <v>70</v>
      </c>
      <c r="AD245" t="s">
        <v>235</v>
      </c>
      <c r="AE245" t="s">
        <v>236</v>
      </c>
      <c r="AF245" t="s">
        <v>67</v>
      </c>
      <c r="AG245" t="s">
        <v>302</v>
      </c>
      <c r="AH245" t="b">
        <v>0</v>
      </c>
      <c r="AI245" t="b">
        <v>0</v>
      </c>
      <c r="AJ245" t="b">
        <v>0</v>
      </c>
      <c r="AK245" t="b">
        <v>0</v>
      </c>
      <c r="AL245" s="6">
        <v>46.53</v>
      </c>
      <c r="AM245" s="3">
        <v>46302.25</v>
      </c>
      <c r="AN245">
        <v>1</v>
      </c>
      <c r="AO245" s="3"/>
      <c r="AT245" t="b">
        <v>0</v>
      </c>
      <c r="AU245" t="s">
        <v>74</v>
      </c>
      <c r="AV245" t="b">
        <v>1</v>
      </c>
      <c r="AW245" t="b">
        <v>0</v>
      </c>
      <c r="AX245" s="5">
        <v>0</v>
      </c>
      <c r="AY245" s="3"/>
      <c r="AZ245" t="s">
        <v>67</v>
      </c>
      <c r="BA245" t="s">
        <v>67</v>
      </c>
      <c r="BB245" t="s">
        <v>317</v>
      </c>
    </row>
    <row r="246" spans="1:54" x14ac:dyDescent="0.3">
      <c r="A246">
        <v>1</v>
      </c>
      <c r="B246">
        <v>15</v>
      </c>
      <c r="C246" t="s">
        <v>54</v>
      </c>
      <c r="D246" s="3">
        <v>46267.648796296293</v>
      </c>
      <c r="E246" s="8">
        <v>46267</v>
      </c>
      <c r="F246" t="s">
        <v>1221</v>
      </c>
      <c r="G246" t="s">
        <v>307</v>
      </c>
      <c r="H246" t="s">
        <v>1222</v>
      </c>
      <c r="I246" t="s">
        <v>1223</v>
      </c>
      <c r="J246" t="s">
        <v>94</v>
      </c>
      <c r="K246" t="s">
        <v>1224</v>
      </c>
      <c r="L246" t="s">
        <v>96</v>
      </c>
      <c r="M246" t="s">
        <v>97</v>
      </c>
      <c r="N246" t="s">
        <v>97</v>
      </c>
      <c r="O246" t="s">
        <v>1225</v>
      </c>
      <c r="P246" t="s">
        <v>1226</v>
      </c>
      <c r="Q246" s="5">
        <v>1</v>
      </c>
      <c r="R246" s="6">
        <v>100</v>
      </c>
      <c r="S246" s="6">
        <v>100</v>
      </c>
      <c r="T246" s="6">
        <v>61.53</v>
      </c>
      <c r="U246" s="3">
        <v>46267.458333333343</v>
      </c>
      <c r="W246" t="s">
        <v>1227</v>
      </c>
      <c r="X246" t="s">
        <v>70</v>
      </c>
      <c r="Y246" t="s">
        <v>68</v>
      </c>
      <c r="Z246" t="s">
        <v>69</v>
      </c>
      <c r="AA246" t="s">
        <v>69</v>
      </c>
      <c r="AB246" t="s">
        <v>67</v>
      </c>
      <c r="AC246" t="s">
        <v>70</v>
      </c>
      <c r="AD246" t="s">
        <v>101</v>
      </c>
      <c r="AE246" t="s">
        <v>84</v>
      </c>
      <c r="AF246" t="s">
        <v>67</v>
      </c>
      <c r="AG246" t="s">
        <v>1225</v>
      </c>
      <c r="AH246" t="b">
        <v>0</v>
      </c>
      <c r="AI246" t="b">
        <v>0</v>
      </c>
      <c r="AJ246" t="b">
        <v>0</v>
      </c>
      <c r="AK246" t="b">
        <v>0</v>
      </c>
      <c r="AL246" s="6">
        <v>61.53</v>
      </c>
      <c r="AM246" s="3">
        <v>46267.458333333343</v>
      </c>
      <c r="AN246">
        <v>1</v>
      </c>
      <c r="AO246" s="3"/>
      <c r="AT246" t="b">
        <v>0</v>
      </c>
      <c r="AU246" t="s">
        <v>74</v>
      </c>
      <c r="AV246" t="b">
        <v>1</v>
      </c>
      <c r="AW246" t="b">
        <v>0</v>
      </c>
      <c r="AX246" s="5">
        <v>0</v>
      </c>
      <c r="AY246" s="3"/>
      <c r="AZ246" t="s">
        <v>67</v>
      </c>
      <c r="BA246" t="s">
        <v>67</v>
      </c>
      <c r="BB246" t="s">
        <v>317</v>
      </c>
    </row>
    <row r="247" spans="1:54" x14ac:dyDescent="0.3">
      <c r="A247">
        <v>1</v>
      </c>
      <c r="B247">
        <v>15</v>
      </c>
      <c r="C247" t="s">
        <v>54</v>
      </c>
      <c r="D247" s="3">
        <v>46267.648796296293</v>
      </c>
      <c r="E247" s="8">
        <v>46267</v>
      </c>
      <c r="F247" t="s">
        <v>1221</v>
      </c>
      <c r="G247" t="s">
        <v>307</v>
      </c>
      <c r="H247" t="s">
        <v>1222</v>
      </c>
      <c r="I247" t="s">
        <v>1223</v>
      </c>
      <c r="J247" t="s">
        <v>94</v>
      </c>
      <c r="K247" t="s">
        <v>1224</v>
      </c>
      <c r="L247" t="s">
        <v>96</v>
      </c>
      <c r="M247" t="s">
        <v>97</v>
      </c>
      <c r="N247" t="s">
        <v>97</v>
      </c>
      <c r="O247" t="s">
        <v>1228</v>
      </c>
      <c r="P247" t="s">
        <v>1229</v>
      </c>
      <c r="Q247" s="5">
        <v>1</v>
      </c>
      <c r="R247" s="6">
        <v>144</v>
      </c>
      <c r="S247" s="6">
        <v>144</v>
      </c>
      <c r="T247" s="6">
        <v>90</v>
      </c>
      <c r="U247" s="3">
        <v>46267.458333333343</v>
      </c>
      <c r="W247" t="s">
        <v>1227</v>
      </c>
      <c r="X247" t="s">
        <v>70</v>
      </c>
      <c r="Y247" t="s">
        <v>23</v>
      </c>
      <c r="Z247" t="s">
        <v>69</v>
      </c>
      <c r="AA247" t="s">
        <v>69</v>
      </c>
      <c r="AB247" t="s">
        <v>67</v>
      </c>
      <c r="AC247" t="s">
        <v>70</v>
      </c>
      <c r="AD247" t="s">
        <v>101</v>
      </c>
      <c r="AF247" t="s">
        <v>67</v>
      </c>
      <c r="AH247" t="b">
        <v>0</v>
      </c>
      <c r="AI247" t="b">
        <v>0</v>
      </c>
      <c r="AJ247" t="b">
        <v>0</v>
      </c>
      <c r="AK247" t="b">
        <v>0</v>
      </c>
      <c r="AL247" s="6">
        <v>90</v>
      </c>
      <c r="AM247" s="3">
        <v>46267.458333333343</v>
      </c>
      <c r="AN247">
        <v>1</v>
      </c>
      <c r="AO247" s="3"/>
      <c r="AT247" t="b">
        <v>0</v>
      </c>
      <c r="AU247" t="s">
        <v>74</v>
      </c>
      <c r="AV247" t="b">
        <v>1</v>
      </c>
      <c r="AW247" t="b">
        <v>0</v>
      </c>
      <c r="AX247" s="5">
        <v>0</v>
      </c>
      <c r="AY247" s="3"/>
      <c r="AZ247" t="s">
        <v>67</v>
      </c>
      <c r="BA247" t="s">
        <v>67</v>
      </c>
      <c r="BB247" t="s">
        <v>317</v>
      </c>
    </row>
    <row r="248" spans="1:54" x14ac:dyDescent="0.3">
      <c r="A248">
        <v>1</v>
      </c>
      <c r="B248">
        <v>15</v>
      </c>
      <c r="C248" t="s">
        <v>54</v>
      </c>
      <c r="D248" s="3">
        <v>46267.648796296293</v>
      </c>
      <c r="E248" s="8">
        <v>46267</v>
      </c>
      <c r="F248" t="s">
        <v>1221</v>
      </c>
      <c r="G248" t="s">
        <v>307</v>
      </c>
      <c r="H248" t="s">
        <v>1222</v>
      </c>
      <c r="I248" t="s">
        <v>1223</v>
      </c>
      <c r="J248" t="s">
        <v>94</v>
      </c>
      <c r="K248" t="s">
        <v>1224</v>
      </c>
      <c r="L248" t="s">
        <v>96</v>
      </c>
      <c r="M248" t="s">
        <v>97</v>
      </c>
      <c r="N248" t="s">
        <v>97</v>
      </c>
      <c r="O248" t="s">
        <v>197</v>
      </c>
      <c r="P248" t="s">
        <v>198</v>
      </c>
      <c r="Q248" s="5">
        <v>3</v>
      </c>
      <c r="R248" s="6">
        <v>640</v>
      </c>
      <c r="S248" s="6">
        <v>1920</v>
      </c>
      <c r="T248" s="6">
        <v>1200</v>
      </c>
      <c r="U248" s="3">
        <v>46267.458333333343</v>
      </c>
      <c r="W248" t="s">
        <v>1227</v>
      </c>
      <c r="X248" t="s">
        <v>70</v>
      </c>
      <c r="Y248" t="s">
        <v>23</v>
      </c>
      <c r="Z248" t="s">
        <v>69</v>
      </c>
      <c r="AA248" t="s">
        <v>69</v>
      </c>
      <c r="AB248" t="s">
        <v>67</v>
      </c>
      <c r="AC248" t="s">
        <v>70</v>
      </c>
      <c r="AD248" t="s">
        <v>101</v>
      </c>
      <c r="AE248" t="s">
        <v>102</v>
      </c>
      <c r="AF248" t="s">
        <v>67</v>
      </c>
      <c r="AH248" t="b">
        <v>0</v>
      </c>
      <c r="AI248" t="b">
        <v>0</v>
      </c>
      <c r="AJ248" t="b">
        <v>0</v>
      </c>
      <c r="AK248" t="b">
        <v>0</v>
      </c>
      <c r="AL248" s="6">
        <v>400</v>
      </c>
      <c r="AM248" s="3">
        <v>46267.458333333343</v>
      </c>
      <c r="AN248">
        <v>1</v>
      </c>
      <c r="AO248" s="3"/>
      <c r="AT248" t="b">
        <v>0</v>
      </c>
      <c r="AU248" t="s">
        <v>74</v>
      </c>
      <c r="AV248" t="b">
        <v>1</v>
      </c>
      <c r="AW248" t="b">
        <v>0</v>
      </c>
      <c r="AX248" s="5">
        <v>0</v>
      </c>
      <c r="AY248" s="3"/>
      <c r="AZ248" t="s">
        <v>67</v>
      </c>
      <c r="BA248" t="s">
        <v>67</v>
      </c>
      <c r="BB248" t="s">
        <v>317</v>
      </c>
    </row>
    <row r="249" spans="1:54" x14ac:dyDescent="0.3">
      <c r="A249">
        <v>1</v>
      </c>
      <c r="B249">
        <v>15</v>
      </c>
      <c r="C249" t="s">
        <v>54</v>
      </c>
      <c r="D249" s="3">
        <v>46267.66</v>
      </c>
      <c r="E249" s="8">
        <v>46267</v>
      </c>
      <c r="F249" t="s">
        <v>1230</v>
      </c>
      <c r="G249" t="s">
        <v>307</v>
      </c>
      <c r="H249" t="s">
        <v>1231</v>
      </c>
      <c r="I249" t="s">
        <v>1232</v>
      </c>
      <c r="J249" t="s">
        <v>94</v>
      </c>
      <c r="K249" t="s">
        <v>1233</v>
      </c>
      <c r="L249" t="s">
        <v>96</v>
      </c>
      <c r="M249" t="s">
        <v>97</v>
      </c>
      <c r="N249" t="s">
        <v>97</v>
      </c>
      <c r="O249" t="s">
        <v>1234</v>
      </c>
      <c r="P249" t="s">
        <v>1235</v>
      </c>
      <c r="Q249" s="5">
        <v>1</v>
      </c>
      <c r="R249" s="6">
        <v>45</v>
      </c>
      <c r="S249" s="6">
        <v>45</v>
      </c>
      <c r="T249" s="6">
        <v>0</v>
      </c>
      <c r="U249" s="3">
        <v>46337.458333333343</v>
      </c>
      <c r="W249" t="s">
        <v>1236</v>
      </c>
      <c r="X249" t="s">
        <v>70</v>
      </c>
      <c r="Y249" t="s">
        <v>23</v>
      </c>
      <c r="Z249" t="s">
        <v>69</v>
      </c>
      <c r="AA249" t="s">
        <v>69</v>
      </c>
      <c r="AB249" t="s">
        <v>67</v>
      </c>
      <c r="AC249" t="s">
        <v>70</v>
      </c>
      <c r="AD249" t="s">
        <v>101</v>
      </c>
      <c r="AE249" t="s">
        <v>102</v>
      </c>
      <c r="AF249" t="s">
        <v>67</v>
      </c>
      <c r="AH249" t="b">
        <v>0</v>
      </c>
      <c r="AI249" t="b">
        <v>0</v>
      </c>
      <c r="AJ249" t="b">
        <v>0</v>
      </c>
      <c r="AK249" t="b">
        <v>0</v>
      </c>
      <c r="AL249" s="6">
        <v>0</v>
      </c>
      <c r="AM249" s="3">
        <v>46337.458333333343</v>
      </c>
      <c r="AN249">
        <v>1</v>
      </c>
      <c r="AO249" s="3"/>
      <c r="AT249" t="b">
        <v>0</v>
      </c>
      <c r="AU249" t="s">
        <v>74</v>
      </c>
      <c r="AV249" t="b">
        <v>1</v>
      </c>
      <c r="AW249" t="b">
        <v>0</v>
      </c>
      <c r="AX249" s="5">
        <v>0</v>
      </c>
      <c r="AY249" s="3"/>
      <c r="AZ249" t="s">
        <v>67</v>
      </c>
      <c r="BA249" t="s">
        <v>67</v>
      </c>
      <c r="BB249" t="s">
        <v>317</v>
      </c>
    </row>
    <row r="250" spans="1:54" x14ac:dyDescent="0.3">
      <c r="A250">
        <v>1</v>
      </c>
      <c r="B250">
        <v>15</v>
      </c>
      <c r="C250" t="s">
        <v>54</v>
      </c>
      <c r="D250" s="3">
        <v>46267.707476851851</v>
      </c>
      <c r="E250" s="8">
        <v>46267</v>
      </c>
      <c r="F250" t="s">
        <v>1237</v>
      </c>
      <c r="G250" t="s">
        <v>307</v>
      </c>
      <c r="H250" t="s">
        <v>1238</v>
      </c>
      <c r="I250" t="s">
        <v>1239</v>
      </c>
      <c r="J250" t="s">
        <v>94</v>
      </c>
      <c r="K250" t="s">
        <v>634</v>
      </c>
      <c r="L250" t="s">
        <v>96</v>
      </c>
      <c r="M250" t="s">
        <v>97</v>
      </c>
      <c r="N250" t="s">
        <v>97</v>
      </c>
      <c r="O250" t="s">
        <v>197</v>
      </c>
      <c r="P250" t="s">
        <v>198</v>
      </c>
      <c r="Q250" s="5">
        <v>1</v>
      </c>
      <c r="R250" s="6">
        <v>640</v>
      </c>
      <c r="S250" s="6">
        <v>640</v>
      </c>
      <c r="T250" s="6">
        <v>400</v>
      </c>
      <c r="U250" s="3">
        <v>46267.479166666657</v>
      </c>
      <c r="W250" t="s">
        <v>1240</v>
      </c>
      <c r="X250" t="s">
        <v>70</v>
      </c>
      <c r="Y250" t="s">
        <v>23</v>
      </c>
      <c r="Z250" t="s">
        <v>69</v>
      </c>
      <c r="AA250" t="s">
        <v>69</v>
      </c>
      <c r="AB250" t="s">
        <v>67</v>
      </c>
      <c r="AC250" t="s">
        <v>70</v>
      </c>
      <c r="AD250" t="s">
        <v>101</v>
      </c>
      <c r="AE250" t="s">
        <v>102</v>
      </c>
      <c r="AF250" t="s">
        <v>67</v>
      </c>
      <c r="AH250" t="b">
        <v>0</v>
      </c>
      <c r="AI250" t="b">
        <v>0</v>
      </c>
      <c r="AJ250" t="b">
        <v>0</v>
      </c>
      <c r="AK250" t="b">
        <v>0</v>
      </c>
      <c r="AL250" s="6">
        <v>400</v>
      </c>
      <c r="AM250" s="3">
        <v>46267.479166666657</v>
      </c>
      <c r="AN250">
        <v>1</v>
      </c>
      <c r="AO250" s="3"/>
      <c r="AT250" t="b">
        <v>0</v>
      </c>
      <c r="AU250" t="s">
        <v>74</v>
      </c>
      <c r="AV250" t="b">
        <v>1</v>
      </c>
      <c r="AW250" t="b">
        <v>0</v>
      </c>
      <c r="AX250" s="5">
        <v>0</v>
      </c>
      <c r="AY250" s="3"/>
      <c r="AZ250" t="s">
        <v>67</v>
      </c>
      <c r="BA250" t="s">
        <v>67</v>
      </c>
      <c r="BB250" t="s">
        <v>317</v>
      </c>
    </row>
    <row r="251" spans="1:54" x14ac:dyDescent="0.3">
      <c r="A251">
        <v>1</v>
      </c>
      <c r="B251">
        <v>15</v>
      </c>
      <c r="C251" t="s">
        <v>54</v>
      </c>
      <c r="D251" s="3">
        <v>46267.708715277768</v>
      </c>
      <c r="E251" s="8">
        <v>46267</v>
      </c>
      <c r="F251" t="s">
        <v>1241</v>
      </c>
      <c r="G251" t="s">
        <v>307</v>
      </c>
      <c r="H251" t="s">
        <v>1242</v>
      </c>
      <c r="I251" t="s">
        <v>1243</v>
      </c>
      <c r="J251" t="s">
        <v>94</v>
      </c>
      <c r="L251" t="s">
        <v>96</v>
      </c>
      <c r="M251" t="s">
        <v>97</v>
      </c>
      <c r="N251" t="s">
        <v>97</v>
      </c>
      <c r="O251" t="s">
        <v>1244</v>
      </c>
      <c r="P251" t="s">
        <v>1245</v>
      </c>
      <c r="Q251" s="5">
        <v>1</v>
      </c>
      <c r="R251" s="6">
        <v>778</v>
      </c>
      <c r="S251" s="6">
        <v>778</v>
      </c>
      <c r="T251" s="6">
        <v>486</v>
      </c>
      <c r="U251" s="3">
        <v>46286.291666666657</v>
      </c>
      <c r="W251" t="s">
        <v>1246</v>
      </c>
      <c r="X251" t="s">
        <v>70</v>
      </c>
      <c r="Y251" t="s">
        <v>23</v>
      </c>
      <c r="Z251" t="s">
        <v>69</v>
      </c>
      <c r="AA251" t="s">
        <v>69</v>
      </c>
      <c r="AB251" t="s">
        <v>67</v>
      </c>
      <c r="AC251" t="s">
        <v>70</v>
      </c>
      <c r="AD251" t="s">
        <v>101</v>
      </c>
      <c r="AF251" t="s">
        <v>67</v>
      </c>
      <c r="AH251" t="b">
        <v>0</v>
      </c>
      <c r="AI251" t="b">
        <v>0</v>
      </c>
      <c r="AJ251" t="b">
        <v>0</v>
      </c>
      <c r="AK251" t="b">
        <v>0</v>
      </c>
      <c r="AL251" s="6">
        <v>486</v>
      </c>
      <c r="AM251" s="3">
        <v>46267.458333333343</v>
      </c>
      <c r="AN251">
        <v>1</v>
      </c>
      <c r="AO251" s="3"/>
      <c r="AT251" t="b">
        <v>0</v>
      </c>
      <c r="AU251" t="s">
        <v>74</v>
      </c>
      <c r="AV251" t="b">
        <v>1</v>
      </c>
      <c r="AW251" t="b">
        <v>0</v>
      </c>
      <c r="AX251" s="5">
        <v>0</v>
      </c>
      <c r="AY251" s="3"/>
      <c r="AZ251" t="s">
        <v>67</v>
      </c>
      <c r="BA251" t="s">
        <v>67</v>
      </c>
      <c r="BB251" t="s">
        <v>317</v>
      </c>
    </row>
    <row r="252" spans="1:54" x14ac:dyDescent="0.3">
      <c r="A252">
        <v>1</v>
      </c>
      <c r="B252">
        <v>15</v>
      </c>
      <c r="C252" t="s">
        <v>54</v>
      </c>
      <c r="D252" s="3">
        <v>46267.708715277768</v>
      </c>
      <c r="E252" s="8">
        <v>46267</v>
      </c>
      <c r="F252" t="s">
        <v>1241</v>
      </c>
      <c r="G252" t="s">
        <v>307</v>
      </c>
      <c r="H252" t="s">
        <v>1242</v>
      </c>
      <c r="I252" t="s">
        <v>1243</v>
      </c>
      <c r="J252" t="s">
        <v>94</v>
      </c>
      <c r="L252" t="s">
        <v>96</v>
      </c>
      <c r="M252" t="s">
        <v>97</v>
      </c>
      <c r="N252" t="s">
        <v>97</v>
      </c>
      <c r="O252" t="s">
        <v>1247</v>
      </c>
      <c r="P252" t="s">
        <v>1248</v>
      </c>
      <c r="Q252" s="5">
        <v>1</v>
      </c>
      <c r="R252" s="6">
        <v>326.95999999999998</v>
      </c>
      <c r="S252" s="6">
        <v>326.95999999999998</v>
      </c>
      <c r="T252" s="6">
        <v>97.2</v>
      </c>
      <c r="U252" s="3">
        <v>46286.291666666657</v>
      </c>
      <c r="W252" t="s">
        <v>1246</v>
      </c>
      <c r="X252" t="s">
        <v>70</v>
      </c>
      <c r="Y252" t="s">
        <v>68</v>
      </c>
      <c r="Z252" t="s">
        <v>69</v>
      </c>
      <c r="AA252" t="s">
        <v>69</v>
      </c>
      <c r="AB252" t="s">
        <v>67</v>
      </c>
      <c r="AC252" t="s">
        <v>70</v>
      </c>
      <c r="AD252" t="s">
        <v>101</v>
      </c>
      <c r="AE252" t="s">
        <v>185</v>
      </c>
      <c r="AF252" t="s">
        <v>67</v>
      </c>
      <c r="AG252" t="s">
        <v>1249</v>
      </c>
      <c r="AH252" t="b">
        <v>0</v>
      </c>
      <c r="AI252" t="b">
        <v>0</v>
      </c>
      <c r="AJ252" t="b">
        <v>0</v>
      </c>
      <c r="AK252" t="b">
        <v>0</v>
      </c>
      <c r="AL252" s="6">
        <v>97.2</v>
      </c>
      <c r="AM252" s="3">
        <v>46267.458333333343</v>
      </c>
      <c r="AN252">
        <v>1</v>
      </c>
      <c r="AO252" s="3"/>
      <c r="AT252" t="b">
        <v>0</v>
      </c>
      <c r="AU252" t="s">
        <v>74</v>
      </c>
      <c r="AV252" t="b">
        <v>1</v>
      </c>
      <c r="AW252" t="b">
        <v>0</v>
      </c>
      <c r="AX252" s="5">
        <v>0</v>
      </c>
      <c r="AY252" s="3"/>
      <c r="AZ252" t="s">
        <v>67</v>
      </c>
      <c r="BA252" t="s">
        <v>67</v>
      </c>
      <c r="BB252" t="s">
        <v>317</v>
      </c>
    </row>
    <row r="253" spans="1:54" x14ac:dyDescent="0.3">
      <c r="A253">
        <v>1</v>
      </c>
      <c r="B253">
        <v>15</v>
      </c>
      <c r="C253" t="s">
        <v>54</v>
      </c>
      <c r="D253" s="3">
        <v>46267.708715277768</v>
      </c>
      <c r="E253" s="8">
        <v>46267</v>
      </c>
      <c r="F253" t="s">
        <v>1241</v>
      </c>
      <c r="G253" t="s">
        <v>307</v>
      </c>
      <c r="H253" t="s">
        <v>1242</v>
      </c>
      <c r="I253" t="s">
        <v>1243</v>
      </c>
      <c r="J253" t="s">
        <v>94</v>
      </c>
      <c r="L253" t="s">
        <v>96</v>
      </c>
      <c r="M253" t="s">
        <v>97</v>
      </c>
      <c r="N253" t="s">
        <v>97</v>
      </c>
      <c r="O253" t="s">
        <v>1250</v>
      </c>
      <c r="P253" t="s">
        <v>1251</v>
      </c>
      <c r="Q253" s="5">
        <v>1</v>
      </c>
      <c r="R253" s="6">
        <v>64.66</v>
      </c>
      <c r="S253" s="6">
        <v>64.66</v>
      </c>
      <c r="T253" s="6">
        <v>19.2</v>
      </c>
      <c r="U253" s="3">
        <v>46286.291666666657</v>
      </c>
      <c r="W253" t="s">
        <v>1246</v>
      </c>
      <c r="X253" t="s">
        <v>70</v>
      </c>
      <c r="Y253" t="s">
        <v>68</v>
      </c>
      <c r="Z253" t="s">
        <v>69</v>
      </c>
      <c r="AA253" t="s">
        <v>69</v>
      </c>
      <c r="AB253" t="s">
        <v>67</v>
      </c>
      <c r="AC253" t="s">
        <v>70</v>
      </c>
      <c r="AD253" t="s">
        <v>101</v>
      </c>
      <c r="AE253" t="s">
        <v>185</v>
      </c>
      <c r="AF253" t="s">
        <v>67</v>
      </c>
      <c r="AG253" t="s">
        <v>1252</v>
      </c>
      <c r="AH253" t="b">
        <v>0</v>
      </c>
      <c r="AI253" t="b">
        <v>0</v>
      </c>
      <c r="AJ253" t="b">
        <v>0</v>
      </c>
      <c r="AK253" t="b">
        <v>0</v>
      </c>
      <c r="AL253" s="6">
        <v>19.2</v>
      </c>
      <c r="AM253" s="3">
        <v>46267.458333333343</v>
      </c>
      <c r="AN253">
        <v>1</v>
      </c>
      <c r="AO253" s="3"/>
      <c r="AT253" t="b">
        <v>0</v>
      </c>
      <c r="AU253" t="s">
        <v>74</v>
      </c>
      <c r="AV253" t="b">
        <v>1</v>
      </c>
      <c r="AW253" t="b">
        <v>0</v>
      </c>
      <c r="AX253" s="5">
        <v>0</v>
      </c>
      <c r="AY253" s="3"/>
      <c r="AZ253" t="s">
        <v>67</v>
      </c>
      <c r="BA253" t="s">
        <v>67</v>
      </c>
      <c r="BB253" t="s">
        <v>317</v>
      </c>
    </row>
    <row r="254" spans="1:54" x14ac:dyDescent="0.3">
      <c r="A254">
        <v>1</v>
      </c>
      <c r="B254">
        <v>15</v>
      </c>
      <c r="C254" t="s">
        <v>54</v>
      </c>
      <c r="D254" s="3">
        <v>46267.708715277768</v>
      </c>
      <c r="E254" s="8">
        <v>46267</v>
      </c>
      <c r="F254" t="s">
        <v>1241</v>
      </c>
      <c r="G254" t="s">
        <v>307</v>
      </c>
      <c r="H254" t="s">
        <v>1242</v>
      </c>
      <c r="I254" t="s">
        <v>1243</v>
      </c>
      <c r="J254" t="s">
        <v>94</v>
      </c>
      <c r="L254" t="s">
        <v>96</v>
      </c>
      <c r="M254" t="s">
        <v>97</v>
      </c>
      <c r="N254" t="s">
        <v>97</v>
      </c>
      <c r="O254" t="s">
        <v>1253</v>
      </c>
      <c r="P254" t="s">
        <v>1254</v>
      </c>
      <c r="Q254" s="5">
        <v>1</v>
      </c>
      <c r="R254" s="6">
        <v>181.78</v>
      </c>
      <c r="S254" s="6">
        <v>181.78</v>
      </c>
      <c r="T254" s="6">
        <v>54</v>
      </c>
      <c r="U254" s="3">
        <v>46286.291666666657</v>
      </c>
      <c r="W254" t="s">
        <v>1246</v>
      </c>
      <c r="X254" t="s">
        <v>70</v>
      </c>
      <c r="Y254" t="s">
        <v>68</v>
      </c>
      <c r="Z254" t="s">
        <v>69</v>
      </c>
      <c r="AA254" t="s">
        <v>69</v>
      </c>
      <c r="AB254" t="s">
        <v>67</v>
      </c>
      <c r="AC254" t="s">
        <v>70</v>
      </c>
      <c r="AD254" t="s">
        <v>101</v>
      </c>
      <c r="AE254" t="s">
        <v>185</v>
      </c>
      <c r="AF254" t="s">
        <v>67</v>
      </c>
      <c r="AG254" t="s">
        <v>1255</v>
      </c>
      <c r="AH254" t="b">
        <v>0</v>
      </c>
      <c r="AI254" t="b">
        <v>0</v>
      </c>
      <c r="AJ254" t="b">
        <v>0</v>
      </c>
      <c r="AK254" t="b">
        <v>0</v>
      </c>
      <c r="AL254" s="6">
        <v>54</v>
      </c>
      <c r="AM254" s="3">
        <v>46267.458333333343</v>
      </c>
      <c r="AN254">
        <v>1</v>
      </c>
      <c r="AO254" s="3"/>
      <c r="AT254" t="b">
        <v>0</v>
      </c>
      <c r="AU254" t="s">
        <v>74</v>
      </c>
      <c r="AV254" t="b">
        <v>1</v>
      </c>
      <c r="AW254" t="b">
        <v>0</v>
      </c>
      <c r="AX254" s="5">
        <v>0</v>
      </c>
      <c r="AY254" s="3"/>
      <c r="AZ254" t="s">
        <v>67</v>
      </c>
      <c r="BA254" t="s">
        <v>67</v>
      </c>
      <c r="BB254" t="s">
        <v>317</v>
      </c>
    </row>
    <row r="255" spans="1:54" x14ac:dyDescent="0.3">
      <c r="A255">
        <v>1</v>
      </c>
      <c r="B255">
        <v>15</v>
      </c>
      <c r="C255" t="s">
        <v>54</v>
      </c>
      <c r="D255" s="3">
        <v>46267.708715277768</v>
      </c>
      <c r="E255" s="8">
        <v>46267</v>
      </c>
      <c r="F255" t="s">
        <v>1241</v>
      </c>
      <c r="G255" t="s">
        <v>307</v>
      </c>
      <c r="H255" t="s">
        <v>1242</v>
      </c>
      <c r="I255" t="s">
        <v>1243</v>
      </c>
      <c r="J255" t="s">
        <v>94</v>
      </c>
      <c r="L255" t="s">
        <v>96</v>
      </c>
      <c r="M255" t="s">
        <v>97</v>
      </c>
      <c r="N255" t="s">
        <v>97</v>
      </c>
      <c r="O255" t="s">
        <v>1256</v>
      </c>
      <c r="P255" t="s">
        <v>1257</v>
      </c>
      <c r="Q255" s="5">
        <v>1</v>
      </c>
      <c r="R255" s="6">
        <v>96.38</v>
      </c>
      <c r="S255" s="6">
        <v>96.38</v>
      </c>
      <c r="T255" s="6">
        <v>28.4</v>
      </c>
      <c r="U255" s="3">
        <v>46286.291666666657</v>
      </c>
      <c r="W255" t="s">
        <v>1246</v>
      </c>
      <c r="X255" t="s">
        <v>70</v>
      </c>
      <c r="Y255" t="s">
        <v>68</v>
      </c>
      <c r="Z255" t="s">
        <v>69</v>
      </c>
      <c r="AA255" t="s">
        <v>69</v>
      </c>
      <c r="AB255" t="s">
        <v>67</v>
      </c>
      <c r="AC255" t="s">
        <v>70</v>
      </c>
      <c r="AD255" t="s">
        <v>101</v>
      </c>
      <c r="AE255" t="s">
        <v>185</v>
      </c>
      <c r="AF255" t="s">
        <v>67</v>
      </c>
      <c r="AG255" t="s">
        <v>1258</v>
      </c>
      <c r="AH255" t="b">
        <v>0</v>
      </c>
      <c r="AI255" t="b">
        <v>0</v>
      </c>
      <c r="AJ255" t="b">
        <v>0</v>
      </c>
      <c r="AK255" t="b">
        <v>0</v>
      </c>
      <c r="AL255" s="6">
        <v>28.4</v>
      </c>
      <c r="AM255" s="3">
        <v>46267.458333333343</v>
      </c>
      <c r="AN255">
        <v>1</v>
      </c>
      <c r="AO255" s="3"/>
      <c r="AT255" t="b">
        <v>0</v>
      </c>
      <c r="AU255" t="s">
        <v>74</v>
      </c>
      <c r="AV255" t="b">
        <v>1</v>
      </c>
      <c r="AW255" t="b">
        <v>0</v>
      </c>
      <c r="AX255" s="5">
        <v>0</v>
      </c>
      <c r="AY255" s="3"/>
      <c r="AZ255" t="s">
        <v>67</v>
      </c>
      <c r="BA255" t="s">
        <v>67</v>
      </c>
      <c r="BB255" t="s">
        <v>317</v>
      </c>
    </row>
    <row r="256" spans="1:54" x14ac:dyDescent="0.3">
      <c r="A256">
        <v>1</v>
      </c>
      <c r="B256">
        <v>15</v>
      </c>
      <c r="C256" t="s">
        <v>54</v>
      </c>
      <c r="D256" s="3">
        <v>46267.708715277768</v>
      </c>
      <c r="E256" s="8">
        <v>46267</v>
      </c>
      <c r="F256" t="s">
        <v>1241</v>
      </c>
      <c r="G256" t="s">
        <v>307</v>
      </c>
      <c r="H256" t="s">
        <v>1242</v>
      </c>
      <c r="I256" t="s">
        <v>1243</v>
      </c>
      <c r="J256" t="s">
        <v>94</v>
      </c>
      <c r="L256" t="s">
        <v>96</v>
      </c>
      <c r="M256" t="s">
        <v>97</v>
      </c>
      <c r="N256" t="s">
        <v>97</v>
      </c>
      <c r="O256" t="s">
        <v>1259</v>
      </c>
      <c r="P256" t="s">
        <v>1260</v>
      </c>
      <c r="Q256" s="5">
        <v>1</v>
      </c>
      <c r="R256" s="6">
        <v>84.18</v>
      </c>
      <c r="S256" s="6">
        <v>84.18</v>
      </c>
      <c r="T256" s="6">
        <v>24.8</v>
      </c>
      <c r="U256" s="3">
        <v>46286.291666666657</v>
      </c>
      <c r="W256" t="s">
        <v>1246</v>
      </c>
      <c r="X256" t="s">
        <v>70</v>
      </c>
      <c r="Y256" t="s">
        <v>68</v>
      </c>
      <c r="Z256" t="s">
        <v>69</v>
      </c>
      <c r="AA256" t="s">
        <v>69</v>
      </c>
      <c r="AB256" t="s">
        <v>67</v>
      </c>
      <c r="AC256" t="s">
        <v>70</v>
      </c>
      <c r="AD256" t="s">
        <v>101</v>
      </c>
      <c r="AE256" t="s">
        <v>185</v>
      </c>
      <c r="AF256" t="s">
        <v>67</v>
      </c>
      <c r="AG256" t="s">
        <v>1261</v>
      </c>
      <c r="AH256" t="b">
        <v>0</v>
      </c>
      <c r="AI256" t="b">
        <v>0</v>
      </c>
      <c r="AJ256" t="b">
        <v>0</v>
      </c>
      <c r="AK256" t="b">
        <v>0</v>
      </c>
      <c r="AL256" s="6">
        <v>24.8</v>
      </c>
      <c r="AM256" s="3">
        <v>46267.458333333343</v>
      </c>
      <c r="AN256">
        <v>1</v>
      </c>
      <c r="AO256" s="3"/>
      <c r="AT256" t="b">
        <v>0</v>
      </c>
      <c r="AU256" t="s">
        <v>74</v>
      </c>
      <c r="AV256" t="b">
        <v>1</v>
      </c>
      <c r="AW256" t="b">
        <v>0</v>
      </c>
      <c r="AX256" s="5">
        <v>0</v>
      </c>
      <c r="AY256" s="3"/>
      <c r="AZ256" t="s">
        <v>67</v>
      </c>
      <c r="BA256" t="s">
        <v>67</v>
      </c>
      <c r="BB256" t="s">
        <v>317</v>
      </c>
    </row>
    <row r="257" spans="1:54" x14ac:dyDescent="0.3">
      <c r="A257">
        <v>1</v>
      </c>
      <c r="B257">
        <v>15</v>
      </c>
      <c r="C257" t="s">
        <v>54</v>
      </c>
      <c r="D257" s="3">
        <v>46270.438009259262</v>
      </c>
      <c r="E257" s="8">
        <v>46270</v>
      </c>
      <c r="F257" t="s">
        <v>1262</v>
      </c>
      <c r="G257" t="s">
        <v>307</v>
      </c>
      <c r="H257" t="s">
        <v>1263</v>
      </c>
      <c r="I257" t="s">
        <v>1264</v>
      </c>
      <c r="J257" t="s">
        <v>749</v>
      </c>
      <c r="K257" t="s">
        <v>1265</v>
      </c>
      <c r="L257" t="s">
        <v>751</v>
      </c>
      <c r="M257" t="s">
        <v>97</v>
      </c>
      <c r="N257" t="s">
        <v>97</v>
      </c>
      <c r="O257" t="s">
        <v>283</v>
      </c>
      <c r="P257" t="s">
        <v>284</v>
      </c>
      <c r="Q257" s="5">
        <v>2</v>
      </c>
      <c r="R257" s="6">
        <v>1120</v>
      </c>
      <c r="S257" s="6">
        <v>2240</v>
      </c>
      <c r="T257" s="6">
        <v>1400</v>
      </c>
      <c r="U257" s="3">
        <v>46332.458333333343</v>
      </c>
      <c r="W257" t="s">
        <v>1266</v>
      </c>
      <c r="X257" t="s">
        <v>70</v>
      </c>
      <c r="Y257" t="s">
        <v>23</v>
      </c>
      <c r="Z257" t="s">
        <v>69</v>
      </c>
      <c r="AA257" t="s">
        <v>69</v>
      </c>
      <c r="AB257" t="s">
        <v>67</v>
      </c>
      <c r="AC257" t="s">
        <v>70</v>
      </c>
      <c r="AD257" t="s">
        <v>101</v>
      </c>
      <c r="AE257" t="s">
        <v>102</v>
      </c>
      <c r="AF257" t="s">
        <v>67</v>
      </c>
      <c r="AH257" t="b">
        <v>0</v>
      </c>
      <c r="AI257" t="b">
        <v>0</v>
      </c>
      <c r="AJ257" t="b">
        <v>0</v>
      </c>
      <c r="AK257" t="b">
        <v>0</v>
      </c>
      <c r="AL257" s="6">
        <v>700</v>
      </c>
      <c r="AM257" s="3">
        <v>46332.458333333343</v>
      </c>
      <c r="AN257">
        <v>1</v>
      </c>
      <c r="AO257" s="3">
        <v>46289.578009259261</v>
      </c>
      <c r="AP257" t="s">
        <v>995</v>
      </c>
      <c r="AQ257" t="s">
        <v>996</v>
      </c>
      <c r="AR257" t="s">
        <v>203</v>
      </c>
      <c r="AS257">
        <v>1</v>
      </c>
      <c r="AT257" t="b">
        <v>1</v>
      </c>
      <c r="AU257" t="s">
        <v>285</v>
      </c>
      <c r="AV257" t="b">
        <v>1</v>
      </c>
      <c r="AW257" t="b">
        <v>0</v>
      </c>
      <c r="AX257" s="5">
        <v>0</v>
      </c>
      <c r="AY257" s="3"/>
      <c r="AZ257" t="s">
        <v>67</v>
      </c>
      <c r="BA257" t="s">
        <v>67</v>
      </c>
      <c r="BB257" t="s">
        <v>997</v>
      </c>
    </row>
    <row r="258" spans="1:54" x14ac:dyDescent="0.3">
      <c r="A258">
        <v>1</v>
      </c>
      <c r="B258">
        <v>15</v>
      </c>
      <c r="C258" t="s">
        <v>54</v>
      </c>
      <c r="D258" s="3">
        <v>46288.393622685187</v>
      </c>
      <c r="E258" s="8">
        <v>46288</v>
      </c>
      <c r="F258" t="s">
        <v>1267</v>
      </c>
      <c r="G258" t="s">
        <v>307</v>
      </c>
      <c r="H258" t="s">
        <v>1268</v>
      </c>
      <c r="I258" t="s">
        <v>1269</v>
      </c>
      <c r="J258" t="s">
        <v>363</v>
      </c>
      <c r="K258" t="s">
        <v>1270</v>
      </c>
      <c r="L258" t="s">
        <v>986</v>
      </c>
      <c r="M258" t="s">
        <v>366</v>
      </c>
      <c r="N258" t="s">
        <v>366</v>
      </c>
      <c r="O258" t="s">
        <v>1271</v>
      </c>
      <c r="P258" t="s">
        <v>1272</v>
      </c>
      <c r="Q258" s="5">
        <v>1</v>
      </c>
      <c r="R258" s="6">
        <v>223</v>
      </c>
      <c r="S258" s="6">
        <v>223</v>
      </c>
      <c r="T258" s="6">
        <v>139.1</v>
      </c>
      <c r="U258" s="3">
        <v>46288.208333333343</v>
      </c>
      <c r="W258" t="s">
        <v>1273</v>
      </c>
      <c r="X258" t="s">
        <v>70</v>
      </c>
      <c r="Y258" t="s">
        <v>23</v>
      </c>
      <c r="Z258" t="s">
        <v>69</v>
      </c>
      <c r="AA258" t="s">
        <v>69</v>
      </c>
      <c r="AB258" t="s">
        <v>70</v>
      </c>
      <c r="AC258" t="s">
        <v>67</v>
      </c>
      <c r="AD258" t="s">
        <v>370</v>
      </c>
      <c r="AF258" t="s">
        <v>67</v>
      </c>
      <c r="AG258" t="s">
        <v>1271</v>
      </c>
      <c r="AH258" t="b">
        <v>0</v>
      </c>
      <c r="AI258" t="b">
        <v>0</v>
      </c>
      <c r="AJ258" t="b">
        <v>0</v>
      </c>
      <c r="AK258" t="b">
        <v>0</v>
      </c>
      <c r="AL258" s="6">
        <v>139.1</v>
      </c>
      <c r="AM258" s="3">
        <v>46288.208333333343</v>
      </c>
      <c r="AN258">
        <v>1</v>
      </c>
      <c r="AO258" s="3"/>
      <c r="AP258" t="s">
        <v>112</v>
      </c>
      <c r="AQ258" t="s">
        <v>112</v>
      </c>
      <c r="AR258" t="s">
        <v>1274</v>
      </c>
      <c r="AS258">
        <v>1</v>
      </c>
      <c r="AT258" t="b">
        <v>0</v>
      </c>
      <c r="AU258" t="s">
        <v>114</v>
      </c>
      <c r="AV258" t="b">
        <v>1</v>
      </c>
      <c r="AW258" t="b">
        <v>0</v>
      </c>
      <c r="AX258" s="5">
        <v>0</v>
      </c>
      <c r="AY258" s="3"/>
      <c r="AZ258" t="s">
        <v>67</v>
      </c>
      <c r="BA258" t="s">
        <v>67</v>
      </c>
      <c r="BB258" t="s">
        <v>997</v>
      </c>
    </row>
    <row r="259" spans="1:54" x14ac:dyDescent="0.3">
      <c r="A259">
        <v>1</v>
      </c>
      <c r="B259">
        <v>15</v>
      </c>
      <c r="C259" t="s">
        <v>54</v>
      </c>
      <c r="D259" s="3">
        <v>46288.442858796298</v>
      </c>
      <c r="E259" s="8">
        <v>46288</v>
      </c>
      <c r="F259" t="s">
        <v>1275</v>
      </c>
      <c r="G259" t="s">
        <v>307</v>
      </c>
      <c r="H259" t="s">
        <v>1276</v>
      </c>
      <c r="I259" t="s">
        <v>1277</v>
      </c>
      <c r="J259" t="s">
        <v>363</v>
      </c>
      <c r="K259" t="s">
        <v>1278</v>
      </c>
      <c r="L259" t="s">
        <v>1279</v>
      </c>
      <c r="M259" t="s">
        <v>366</v>
      </c>
      <c r="N259" t="s">
        <v>366</v>
      </c>
      <c r="O259" t="s">
        <v>1280</v>
      </c>
      <c r="P259" t="s">
        <v>1281</v>
      </c>
      <c r="Q259" s="5">
        <v>1</v>
      </c>
      <c r="R259" s="6">
        <v>25</v>
      </c>
      <c r="S259" s="6">
        <v>25</v>
      </c>
      <c r="T259" s="6">
        <v>9.8800000000000008</v>
      </c>
      <c r="U259" s="3">
        <v>46316.25</v>
      </c>
      <c r="W259" t="s">
        <v>1282</v>
      </c>
      <c r="X259" t="s">
        <v>67</v>
      </c>
      <c r="Y259" t="s">
        <v>68</v>
      </c>
      <c r="Z259" t="s">
        <v>69</v>
      </c>
      <c r="AA259" t="s">
        <v>69</v>
      </c>
      <c r="AB259" t="s">
        <v>70</v>
      </c>
      <c r="AC259" t="s">
        <v>70</v>
      </c>
      <c r="AD259" t="s">
        <v>370</v>
      </c>
      <c r="AE259" t="s">
        <v>371</v>
      </c>
      <c r="AF259" t="s">
        <v>67</v>
      </c>
      <c r="AG259" t="s">
        <v>1280</v>
      </c>
      <c r="AH259" t="b">
        <v>0</v>
      </c>
      <c r="AI259" t="b">
        <v>0</v>
      </c>
      <c r="AJ259" t="b">
        <v>0</v>
      </c>
      <c r="AK259" t="b">
        <v>0</v>
      </c>
      <c r="AL259" s="6">
        <v>9.8800000000000008</v>
      </c>
      <c r="AM259" s="3">
        <v>46316.25</v>
      </c>
      <c r="AN259">
        <v>1</v>
      </c>
      <c r="AO259" s="3"/>
      <c r="AT259" t="b">
        <v>0</v>
      </c>
      <c r="AU259" t="s">
        <v>74</v>
      </c>
      <c r="AV259" t="b">
        <v>1</v>
      </c>
      <c r="AW259" t="b">
        <v>0</v>
      </c>
      <c r="AX259" s="5">
        <v>0</v>
      </c>
      <c r="AY259" s="3"/>
      <c r="AZ259" t="s">
        <v>67</v>
      </c>
      <c r="BA259" t="s">
        <v>67</v>
      </c>
      <c r="BB259" t="s">
        <v>317</v>
      </c>
    </row>
    <row r="260" spans="1:54" x14ac:dyDescent="0.3">
      <c r="A260">
        <v>1</v>
      </c>
      <c r="B260">
        <v>15</v>
      </c>
      <c r="C260" t="s">
        <v>54</v>
      </c>
      <c r="D260" s="3">
        <v>46288.734918981478</v>
      </c>
      <c r="E260" s="8">
        <v>46288</v>
      </c>
      <c r="F260" t="s">
        <v>1283</v>
      </c>
      <c r="G260" t="s">
        <v>307</v>
      </c>
      <c r="H260" t="s">
        <v>1284</v>
      </c>
      <c r="I260" t="s">
        <v>1285</v>
      </c>
      <c r="J260" t="s">
        <v>363</v>
      </c>
      <c r="K260" t="s">
        <v>952</v>
      </c>
      <c r="L260" t="s">
        <v>986</v>
      </c>
      <c r="M260" t="s">
        <v>366</v>
      </c>
      <c r="N260" t="s">
        <v>366</v>
      </c>
      <c r="O260" t="s">
        <v>1286</v>
      </c>
      <c r="P260" t="s">
        <v>1287</v>
      </c>
      <c r="Q260" s="5">
        <v>1</v>
      </c>
      <c r="R260" s="6">
        <v>316</v>
      </c>
      <c r="S260" s="6">
        <v>316</v>
      </c>
      <c r="T260" s="6">
        <v>196.88</v>
      </c>
      <c r="U260" s="3">
        <v>46288.5625</v>
      </c>
      <c r="W260" t="s">
        <v>1288</v>
      </c>
      <c r="X260" t="s">
        <v>70</v>
      </c>
      <c r="Y260" t="s">
        <v>23</v>
      </c>
      <c r="Z260" t="s">
        <v>69</v>
      </c>
      <c r="AA260" t="s">
        <v>69</v>
      </c>
      <c r="AB260" t="s">
        <v>67</v>
      </c>
      <c r="AC260" t="s">
        <v>67</v>
      </c>
      <c r="AD260" t="s">
        <v>370</v>
      </c>
      <c r="AF260" t="s">
        <v>67</v>
      </c>
      <c r="AG260" t="s">
        <v>1286</v>
      </c>
      <c r="AH260" t="b">
        <v>0</v>
      </c>
      <c r="AI260" t="b">
        <v>0</v>
      </c>
      <c r="AJ260" t="b">
        <v>0</v>
      </c>
      <c r="AK260" t="b">
        <v>0</v>
      </c>
      <c r="AL260" s="6">
        <v>196.88</v>
      </c>
      <c r="AM260" s="3">
        <v>46288.5625</v>
      </c>
      <c r="AN260">
        <v>1</v>
      </c>
      <c r="AO260" s="3"/>
      <c r="AP260" t="s">
        <v>112</v>
      </c>
      <c r="AQ260" t="s">
        <v>112</v>
      </c>
      <c r="AR260" t="s">
        <v>1274</v>
      </c>
      <c r="AS260">
        <v>1</v>
      </c>
      <c r="AT260" t="b">
        <v>0</v>
      </c>
      <c r="AU260" t="s">
        <v>114</v>
      </c>
      <c r="AV260" t="b">
        <v>1</v>
      </c>
      <c r="AW260" t="b">
        <v>0</v>
      </c>
      <c r="AX260" s="5">
        <v>0</v>
      </c>
      <c r="AY260" s="3"/>
      <c r="AZ260" t="s">
        <v>67</v>
      </c>
      <c r="BA260" t="s">
        <v>67</v>
      </c>
      <c r="BB260" t="s">
        <v>997</v>
      </c>
    </row>
    <row r="261" spans="1:54" x14ac:dyDescent="0.3">
      <c r="A261">
        <v>1</v>
      </c>
      <c r="B261">
        <v>15</v>
      </c>
      <c r="C261" t="s">
        <v>54</v>
      </c>
      <c r="D261" s="3">
        <v>46288.769143518519</v>
      </c>
      <c r="E261" s="8">
        <v>46288</v>
      </c>
      <c r="F261" t="s">
        <v>1289</v>
      </c>
      <c r="G261" t="s">
        <v>307</v>
      </c>
      <c r="H261" t="s">
        <v>1290</v>
      </c>
      <c r="I261" t="s">
        <v>1291</v>
      </c>
      <c r="J261" t="s">
        <v>363</v>
      </c>
      <c r="K261" t="s">
        <v>1148</v>
      </c>
      <c r="L261" t="s">
        <v>986</v>
      </c>
      <c r="M261" t="s">
        <v>366</v>
      </c>
      <c r="O261" t="s">
        <v>506</v>
      </c>
      <c r="P261" t="s">
        <v>507</v>
      </c>
      <c r="Q261" s="5">
        <v>1</v>
      </c>
      <c r="R261" s="6">
        <v>237.8</v>
      </c>
      <c r="S261" s="6">
        <v>237.8</v>
      </c>
      <c r="T261" s="6">
        <v>113.21</v>
      </c>
      <c r="U261" s="3">
        <v>46288.229166666657</v>
      </c>
      <c r="W261" t="s">
        <v>1292</v>
      </c>
      <c r="X261" t="s">
        <v>67</v>
      </c>
      <c r="Y261" t="s">
        <v>68</v>
      </c>
      <c r="Z261" t="s">
        <v>69</v>
      </c>
      <c r="AA261" t="s">
        <v>69</v>
      </c>
      <c r="AB261" t="s">
        <v>67</v>
      </c>
      <c r="AC261" t="s">
        <v>70</v>
      </c>
      <c r="AD261" t="s">
        <v>370</v>
      </c>
      <c r="AE261" t="s">
        <v>371</v>
      </c>
      <c r="AF261" t="s">
        <v>67</v>
      </c>
      <c r="AG261" t="s">
        <v>509</v>
      </c>
      <c r="AH261" t="b">
        <v>0</v>
      </c>
      <c r="AI261" t="b">
        <v>0</v>
      </c>
      <c r="AJ261" t="b">
        <v>0</v>
      </c>
      <c r="AK261" t="b">
        <v>0</v>
      </c>
      <c r="AL261" s="6">
        <v>113.21</v>
      </c>
      <c r="AM261" s="3">
        <v>46288.229166666657</v>
      </c>
      <c r="AN261">
        <v>1</v>
      </c>
      <c r="AO261" s="3"/>
      <c r="AT261" t="b">
        <v>0</v>
      </c>
      <c r="AU261" t="s">
        <v>74</v>
      </c>
      <c r="AV261" t="b">
        <v>1</v>
      </c>
      <c r="AW261" t="b">
        <v>0</v>
      </c>
      <c r="AX261" s="5">
        <v>0</v>
      </c>
      <c r="AY261" s="3"/>
      <c r="AZ261" t="s">
        <v>67</v>
      </c>
      <c r="BA261" t="s">
        <v>67</v>
      </c>
      <c r="BB261" t="s">
        <v>317</v>
      </c>
    </row>
    <row r="262" spans="1:54" x14ac:dyDescent="0.3">
      <c r="A262">
        <v>1</v>
      </c>
      <c r="B262">
        <v>15</v>
      </c>
      <c r="C262" t="s">
        <v>54</v>
      </c>
      <c r="D262" s="3">
        <v>46206.50309027778</v>
      </c>
      <c r="E262" s="8">
        <v>46288</v>
      </c>
      <c r="F262" t="s">
        <v>1293</v>
      </c>
      <c r="G262" t="s">
        <v>1294</v>
      </c>
      <c r="H262" t="s">
        <v>1295</v>
      </c>
      <c r="I262" t="s">
        <v>1296</v>
      </c>
      <c r="J262" t="s">
        <v>749</v>
      </c>
      <c r="K262" t="s">
        <v>1297</v>
      </c>
      <c r="L262" t="s">
        <v>1071</v>
      </c>
      <c r="M262" t="s">
        <v>97</v>
      </c>
      <c r="N262" t="s">
        <v>97</v>
      </c>
      <c r="O262" t="s">
        <v>98</v>
      </c>
      <c r="P262" t="s">
        <v>99</v>
      </c>
      <c r="Q262" s="5">
        <v>27</v>
      </c>
      <c r="R262" s="6">
        <v>736</v>
      </c>
      <c r="S262" s="6">
        <v>19872</v>
      </c>
      <c r="T262" s="6">
        <v>12420</v>
      </c>
      <c r="U262" s="3">
        <v>46297.270833333343</v>
      </c>
      <c r="W262" t="s">
        <v>1298</v>
      </c>
      <c r="X262" t="s">
        <v>70</v>
      </c>
      <c r="Y262" t="s">
        <v>23</v>
      </c>
      <c r="Z262" t="s">
        <v>69</v>
      </c>
      <c r="AA262" t="s">
        <v>69</v>
      </c>
      <c r="AB262" t="s">
        <v>67</v>
      </c>
      <c r="AC262" t="s">
        <v>70</v>
      </c>
      <c r="AD262" t="s">
        <v>101</v>
      </c>
      <c r="AE262" t="s">
        <v>102</v>
      </c>
      <c r="AF262" t="s">
        <v>67</v>
      </c>
      <c r="AH262" t="b">
        <v>0</v>
      </c>
      <c r="AI262" t="b">
        <v>0</v>
      </c>
      <c r="AJ262" t="b">
        <v>0</v>
      </c>
      <c r="AK262" t="b">
        <v>0</v>
      </c>
      <c r="AL262" s="6">
        <v>460</v>
      </c>
      <c r="AM262" s="3">
        <v>46297.270833333343</v>
      </c>
      <c r="AN262">
        <v>1</v>
      </c>
      <c r="AO262" s="3"/>
      <c r="AT262" t="b">
        <v>0</v>
      </c>
      <c r="AU262" t="s">
        <v>74</v>
      </c>
      <c r="AV262" t="b">
        <v>1</v>
      </c>
      <c r="AW262" t="b">
        <v>0</v>
      </c>
      <c r="AX262" s="5">
        <v>0</v>
      </c>
      <c r="AY262" s="3"/>
      <c r="AZ262" t="s">
        <v>67</v>
      </c>
      <c r="BA262" t="s">
        <v>67</v>
      </c>
      <c r="BB262" t="s">
        <v>317</v>
      </c>
    </row>
    <row r="263" spans="1:54" x14ac:dyDescent="0.3">
      <c r="A263">
        <v>1</v>
      </c>
      <c r="B263">
        <v>15</v>
      </c>
      <c r="C263" t="s">
        <v>54</v>
      </c>
      <c r="D263" s="3">
        <v>46206.50309027778</v>
      </c>
      <c r="E263" s="8">
        <v>46288</v>
      </c>
      <c r="F263" t="s">
        <v>1293</v>
      </c>
      <c r="G263" t="s">
        <v>1294</v>
      </c>
      <c r="H263" t="s">
        <v>1295</v>
      </c>
      <c r="I263" t="s">
        <v>1296</v>
      </c>
      <c r="J263" t="s">
        <v>749</v>
      </c>
      <c r="K263" t="s">
        <v>1297</v>
      </c>
      <c r="L263" t="s">
        <v>1071</v>
      </c>
      <c r="M263" t="s">
        <v>97</v>
      </c>
      <c r="N263" t="s">
        <v>97</v>
      </c>
      <c r="O263" t="s">
        <v>1299</v>
      </c>
      <c r="P263" t="s">
        <v>1300</v>
      </c>
      <c r="Q263" s="5">
        <v>9</v>
      </c>
      <c r="R263" s="6">
        <v>262.5</v>
      </c>
      <c r="S263" s="6">
        <v>2362.5</v>
      </c>
      <c r="T263" s="6">
        <v>571.32000000000005</v>
      </c>
      <c r="U263" s="3">
        <v>46297.270833333343</v>
      </c>
      <c r="W263" t="s">
        <v>1298</v>
      </c>
      <c r="X263" t="s">
        <v>70</v>
      </c>
      <c r="Y263" t="s">
        <v>68</v>
      </c>
      <c r="Z263" t="s">
        <v>69</v>
      </c>
      <c r="AA263" t="s">
        <v>69</v>
      </c>
      <c r="AB263" t="s">
        <v>67</v>
      </c>
      <c r="AC263" t="s">
        <v>70</v>
      </c>
      <c r="AD263" t="s">
        <v>101</v>
      </c>
      <c r="AE263" t="s">
        <v>220</v>
      </c>
      <c r="AF263" t="s">
        <v>67</v>
      </c>
      <c r="AG263" t="s">
        <v>1301</v>
      </c>
      <c r="AH263" t="b">
        <v>0</v>
      </c>
      <c r="AI263" t="b">
        <v>0</v>
      </c>
      <c r="AJ263" t="b">
        <v>0</v>
      </c>
      <c r="AK263" t="b">
        <v>0</v>
      </c>
      <c r="AL263" s="6">
        <v>63.48</v>
      </c>
      <c r="AM263" s="3">
        <v>46297.270833333343</v>
      </c>
      <c r="AN263">
        <v>1</v>
      </c>
      <c r="AO263" s="3"/>
      <c r="AT263" t="b">
        <v>0</v>
      </c>
      <c r="AU263" t="s">
        <v>74</v>
      </c>
      <c r="AV263" t="b">
        <v>1</v>
      </c>
      <c r="AW263" t="b">
        <v>0</v>
      </c>
      <c r="AX263" s="5">
        <v>0</v>
      </c>
      <c r="AY263" s="3"/>
      <c r="AZ263" t="s">
        <v>67</v>
      </c>
      <c r="BA263" t="s">
        <v>67</v>
      </c>
      <c r="BB263" t="s">
        <v>317</v>
      </c>
    </row>
    <row r="264" spans="1:54" x14ac:dyDescent="0.3">
      <c r="A264">
        <v>1</v>
      </c>
      <c r="B264">
        <v>15</v>
      </c>
      <c r="C264" t="s">
        <v>54</v>
      </c>
      <c r="D264" s="3">
        <v>46206.50309027778</v>
      </c>
      <c r="E264" s="8">
        <v>46288</v>
      </c>
      <c r="F264" t="s">
        <v>1293</v>
      </c>
      <c r="G264" t="s">
        <v>1294</v>
      </c>
      <c r="H264" t="s">
        <v>1295</v>
      </c>
      <c r="I264" t="s">
        <v>1296</v>
      </c>
      <c r="J264" t="s">
        <v>749</v>
      </c>
      <c r="K264" t="s">
        <v>1297</v>
      </c>
      <c r="L264" t="s">
        <v>1071</v>
      </c>
      <c r="M264" t="s">
        <v>97</v>
      </c>
      <c r="N264" t="s">
        <v>97</v>
      </c>
      <c r="O264" t="s">
        <v>1302</v>
      </c>
      <c r="P264" t="s">
        <v>1303</v>
      </c>
      <c r="Q264" s="5">
        <v>9</v>
      </c>
      <c r="R264" s="6">
        <v>84</v>
      </c>
      <c r="S264" s="6">
        <v>756</v>
      </c>
      <c r="T264" s="6">
        <v>182.16</v>
      </c>
      <c r="U264" s="3">
        <v>46297.270833333343</v>
      </c>
      <c r="W264" t="s">
        <v>1298</v>
      </c>
      <c r="X264" t="s">
        <v>70</v>
      </c>
      <c r="Y264" t="s">
        <v>68</v>
      </c>
      <c r="Z264" t="s">
        <v>69</v>
      </c>
      <c r="AA264" t="s">
        <v>69</v>
      </c>
      <c r="AB264" t="s">
        <v>67</v>
      </c>
      <c r="AC264" t="s">
        <v>70</v>
      </c>
      <c r="AD264" t="s">
        <v>101</v>
      </c>
      <c r="AE264" t="s">
        <v>220</v>
      </c>
      <c r="AF264" t="s">
        <v>67</v>
      </c>
      <c r="AG264" t="s">
        <v>1304</v>
      </c>
      <c r="AH264" t="b">
        <v>0</v>
      </c>
      <c r="AI264" t="b">
        <v>0</v>
      </c>
      <c r="AJ264" t="b">
        <v>0</v>
      </c>
      <c r="AK264" t="b">
        <v>0</v>
      </c>
      <c r="AL264" s="6">
        <v>20.239999999999998</v>
      </c>
      <c r="AM264" s="3">
        <v>46297.270833333343</v>
      </c>
      <c r="AN264">
        <v>1</v>
      </c>
      <c r="AO264" s="3"/>
      <c r="AT264" t="b">
        <v>0</v>
      </c>
      <c r="AU264" t="s">
        <v>74</v>
      </c>
      <c r="AV264" t="b">
        <v>1</v>
      </c>
      <c r="AW264" t="b">
        <v>0</v>
      </c>
      <c r="AX264" s="5">
        <v>0</v>
      </c>
      <c r="AY264" s="3"/>
      <c r="AZ264" t="s">
        <v>67</v>
      </c>
      <c r="BA264" t="s">
        <v>67</v>
      </c>
      <c r="BB264" t="s">
        <v>317</v>
      </c>
    </row>
    <row r="265" spans="1:54" x14ac:dyDescent="0.3">
      <c r="A265">
        <v>1</v>
      </c>
      <c r="B265">
        <v>15</v>
      </c>
      <c r="C265" t="s">
        <v>54</v>
      </c>
      <c r="D265" s="3">
        <v>46206.50309027778</v>
      </c>
      <c r="E265" s="8">
        <v>46288</v>
      </c>
      <c r="F265" t="s">
        <v>1293</v>
      </c>
      <c r="G265" t="s">
        <v>1294</v>
      </c>
      <c r="H265" t="s">
        <v>1295</v>
      </c>
      <c r="I265" t="s">
        <v>1296</v>
      </c>
      <c r="J265" t="s">
        <v>749</v>
      </c>
      <c r="K265" t="s">
        <v>1297</v>
      </c>
      <c r="L265" t="s">
        <v>1071</v>
      </c>
      <c r="M265" t="s">
        <v>97</v>
      </c>
      <c r="N265" t="s">
        <v>97</v>
      </c>
      <c r="O265" t="s">
        <v>1305</v>
      </c>
      <c r="P265" t="s">
        <v>1306</v>
      </c>
      <c r="Q265" s="5">
        <v>9</v>
      </c>
      <c r="R265" s="6">
        <v>160.5</v>
      </c>
      <c r="S265" s="6">
        <v>1444.5</v>
      </c>
      <c r="T265" s="6">
        <v>347.76</v>
      </c>
      <c r="U265" s="3">
        <v>46297.270833333343</v>
      </c>
      <c r="W265" t="s">
        <v>1298</v>
      </c>
      <c r="X265" t="s">
        <v>70</v>
      </c>
      <c r="Y265" t="s">
        <v>68</v>
      </c>
      <c r="Z265" t="s">
        <v>69</v>
      </c>
      <c r="AA265" t="s">
        <v>69</v>
      </c>
      <c r="AB265" t="s">
        <v>67</v>
      </c>
      <c r="AC265" t="s">
        <v>70</v>
      </c>
      <c r="AD265" t="s">
        <v>101</v>
      </c>
      <c r="AE265" t="s">
        <v>220</v>
      </c>
      <c r="AF265" t="s">
        <v>67</v>
      </c>
      <c r="AG265" t="s">
        <v>1307</v>
      </c>
      <c r="AH265" t="b">
        <v>0</v>
      </c>
      <c r="AI265" t="b">
        <v>0</v>
      </c>
      <c r="AJ265" t="b">
        <v>0</v>
      </c>
      <c r="AK265" t="b">
        <v>0</v>
      </c>
      <c r="AL265" s="6">
        <v>38.64</v>
      </c>
      <c r="AM265" s="3">
        <v>46297.270833333343</v>
      </c>
      <c r="AN265">
        <v>1</v>
      </c>
      <c r="AO265" s="3"/>
      <c r="AT265" t="b">
        <v>0</v>
      </c>
      <c r="AU265" t="s">
        <v>74</v>
      </c>
      <c r="AV265" t="b">
        <v>1</v>
      </c>
      <c r="AW265" t="b">
        <v>0</v>
      </c>
      <c r="AX265" s="5">
        <v>0</v>
      </c>
      <c r="AY265" s="3"/>
      <c r="AZ265" t="s">
        <v>67</v>
      </c>
      <c r="BA265" t="s">
        <v>67</v>
      </c>
      <c r="BB265" t="s">
        <v>317</v>
      </c>
    </row>
    <row r="266" spans="1:54" x14ac:dyDescent="0.3">
      <c r="A266">
        <v>1</v>
      </c>
      <c r="B266">
        <v>15</v>
      </c>
      <c r="C266" t="s">
        <v>54</v>
      </c>
      <c r="D266" s="3">
        <v>46298.401701388888</v>
      </c>
      <c r="E266" s="8">
        <v>46298</v>
      </c>
      <c r="F266" t="s">
        <v>1308</v>
      </c>
      <c r="G266" t="s">
        <v>1294</v>
      </c>
      <c r="H266" t="s">
        <v>222</v>
      </c>
      <c r="I266" t="s">
        <v>223</v>
      </c>
      <c r="J266" t="s">
        <v>749</v>
      </c>
      <c r="L266" t="s">
        <v>1071</v>
      </c>
      <c r="M266" t="s">
        <v>97</v>
      </c>
      <c r="N266" t="s">
        <v>97</v>
      </c>
      <c r="O266" t="s">
        <v>98</v>
      </c>
      <c r="P266" t="s">
        <v>99</v>
      </c>
      <c r="Q266" s="5">
        <v>1</v>
      </c>
      <c r="R266" s="6">
        <v>736</v>
      </c>
      <c r="S266" s="6">
        <v>736</v>
      </c>
      <c r="T266" s="6">
        <v>460</v>
      </c>
      <c r="U266" s="3">
        <v>46298.25</v>
      </c>
      <c r="W266" t="s">
        <v>1309</v>
      </c>
      <c r="X266" t="s">
        <v>70</v>
      </c>
      <c r="Y266" t="s">
        <v>23</v>
      </c>
      <c r="Z266" t="s">
        <v>69</v>
      </c>
      <c r="AA266" t="s">
        <v>69</v>
      </c>
      <c r="AB266" t="s">
        <v>67</v>
      </c>
      <c r="AC266" t="s">
        <v>67</v>
      </c>
      <c r="AD266" t="s">
        <v>101</v>
      </c>
      <c r="AE266" t="s">
        <v>102</v>
      </c>
      <c r="AF266" t="s">
        <v>67</v>
      </c>
      <c r="AH266" t="b">
        <v>0</v>
      </c>
      <c r="AI266" t="b">
        <v>0</v>
      </c>
      <c r="AJ266" t="b">
        <v>0</v>
      </c>
      <c r="AK266" t="b">
        <v>0</v>
      </c>
      <c r="AL266" s="6">
        <v>460</v>
      </c>
      <c r="AM266" s="3">
        <v>46298.25</v>
      </c>
      <c r="AN266">
        <v>1</v>
      </c>
      <c r="AO266" s="3"/>
      <c r="AT266" t="b">
        <v>0</v>
      </c>
      <c r="AU266" t="s">
        <v>74</v>
      </c>
      <c r="AV266" t="b">
        <v>1</v>
      </c>
      <c r="AW266" t="b">
        <v>0</v>
      </c>
      <c r="AX266" s="5">
        <v>0</v>
      </c>
      <c r="AY266" s="3"/>
      <c r="AZ266" t="s">
        <v>67</v>
      </c>
      <c r="BA266" t="s">
        <v>67</v>
      </c>
      <c r="BB266" t="s">
        <v>317</v>
      </c>
    </row>
    <row r="267" spans="1:54" x14ac:dyDescent="0.3">
      <c r="A267">
        <v>1</v>
      </c>
      <c r="B267">
        <v>15</v>
      </c>
      <c r="C267" t="s">
        <v>54</v>
      </c>
      <c r="D267" s="3">
        <v>46298.401701388888</v>
      </c>
      <c r="E267" s="8">
        <v>46298</v>
      </c>
      <c r="F267" t="s">
        <v>1308</v>
      </c>
      <c r="G267" t="s">
        <v>1294</v>
      </c>
      <c r="H267" t="s">
        <v>222</v>
      </c>
      <c r="I267" t="s">
        <v>223</v>
      </c>
      <c r="J267" t="s">
        <v>749</v>
      </c>
      <c r="L267" t="s">
        <v>1071</v>
      </c>
      <c r="M267" t="s">
        <v>97</v>
      </c>
      <c r="N267" t="s">
        <v>97</v>
      </c>
      <c r="O267" t="s">
        <v>98</v>
      </c>
      <c r="P267" t="s">
        <v>99</v>
      </c>
      <c r="Q267" s="5">
        <v>3</v>
      </c>
      <c r="R267" s="6">
        <v>736</v>
      </c>
      <c r="S267" s="6">
        <v>2208</v>
      </c>
      <c r="T267" s="6">
        <v>1380</v>
      </c>
      <c r="U267" s="3">
        <v>46298.25</v>
      </c>
      <c r="W267" t="s">
        <v>1309</v>
      </c>
      <c r="X267" t="s">
        <v>70</v>
      </c>
      <c r="Y267" t="s">
        <v>23</v>
      </c>
      <c r="Z267" t="s">
        <v>69</v>
      </c>
      <c r="AA267" t="s">
        <v>69</v>
      </c>
      <c r="AB267" t="s">
        <v>67</v>
      </c>
      <c r="AC267" t="s">
        <v>67</v>
      </c>
      <c r="AD267" t="s">
        <v>101</v>
      </c>
      <c r="AE267" t="s">
        <v>102</v>
      </c>
      <c r="AF267" t="s">
        <v>67</v>
      </c>
      <c r="AH267" t="b">
        <v>0</v>
      </c>
      <c r="AI267" t="b">
        <v>0</v>
      </c>
      <c r="AJ267" t="b">
        <v>0</v>
      </c>
      <c r="AK267" t="b">
        <v>0</v>
      </c>
      <c r="AL267" s="6">
        <v>460</v>
      </c>
      <c r="AM267" s="3">
        <v>46298.25</v>
      </c>
      <c r="AN267">
        <v>1</v>
      </c>
      <c r="AO267" s="3"/>
      <c r="AT267" t="b">
        <v>0</v>
      </c>
      <c r="AU267" t="s">
        <v>74</v>
      </c>
      <c r="AV267" t="b">
        <v>1</v>
      </c>
      <c r="AW267" t="b">
        <v>0</v>
      </c>
      <c r="AX267" s="5">
        <v>0</v>
      </c>
      <c r="AY267" s="3"/>
      <c r="AZ267" t="s">
        <v>67</v>
      </c>
      <c r="BA267" t="s">
        <v>67</v>
      </c>
      <c r="BB267" t="s">
        <v>317</v>
      </c>
    </row>
    <row r="268" spans="1:54" x14ac:dyDescent="0.3">
      <c r="A268">
        <v>1</v>
      </c>
      <c r="B268">
        <v>15</v>
      </c>
      <c r="C268" t="s">
        <v>54</v>
      </c>
      <c r="D268" s="3">
        <v>46298.401701388888</v>
      </c>
      <c r="E268" s="8">
        <v>46298</v>
      </c>
      <c r="F268" t="s">
        <v>1308</v>
      </c>
      <c r="G268" t="s">
        <v>1294</v>
      </c>
      <c r="H268" t="s">
        <v>222</v>
      </c>
      <c r="I268" t="s">
        <v>223</v>
      </c>
      <c r="J268" t="s">
        <v>749</v>
      </c>
      <c r="L268" t="s">
        <v>1071</v>
      </c>
      <c r="M268" t="s">
        <v>97</v>
      </c>
      <c r="N268" t="s">
        <v>97</v>
      </c>
      <c r="O268" t="s">
        <v>1310</v>
      </c>
      <c r="P268" t="s">
        <v>1311</v>
      </c>
      <c r="Q268" s="5">
        <v>3</v>
      </c>
      <c r="R268" s="6">
        <v>262.5</v>
      </c>
      <c r="S268" s="6">
        <v>787.5</v>
      </c>
      <c r="T268" s="6">
        <v>190.44</v>
      </c>
      <c r="U268" s="3">
        <v>46298.25</v>
      </c>
      <c r="W268" t="s">
        <v>1309</v>
      </c>
      <c r="X268" t="s">
        <v>70</v>
      </c>
      <c r="Y268" t="s">
        <v>68</v>
      </c>
      <c r="Z268" t="s">
        <v>69</v>
      </c>
      <c r="AA268" t="s">
        <v>69</v>
      </c>
      <c r="AB268" t="s">
        <v>67</v>
      </c>
      <c r="AC268" t="s">
        <v>67</v>
      </c>
      <c r="AD268" t="s">
        <v>101</v>
      </c>
      <c r="AE268" t="s">
        <v>220</v>
      </c>
      <c r="AF268" t="s">
        <v>67</v>
      </c>
      <c r="AG268" t="s">
        <v>1312</v>
      </c>
      <c r="AH268" t="b">
        <v>0</v>
      </c>
      <c r="AI268" t="b">
        <v>0</v>
      </c>
      <c r="AJ268" t="b">
        <v>0</v>
      </c>
      <c r="AK268" t="b">
        <v>0</v>
      </c>
      <c r="AL268" s="6">
        <v>63.48</v>
      </c>
      <c r="AM268" s="3">
        <v>46298.25</v>
      </c>
      <c r="AN268">
        <v>1</v>
      </c>
      <c r="AO268" s="3"/>
      <c r="AT268" t="b">
        <v>0</v>
      </c>
      <c r="AU268" t="s">
        <v>74</v>
      </c>
      <c r="AV268" t="b">
        <v>1</v>
      </c>
      <c r="AW268" t="b">
        <v>0</v>
      </c>
      <c r="AX268" s="5">
        <v>0</v>
      </c>
      <c r="AY268" s="3"/>
      <c r="AZ268" t="s">
        <v>67</v>
      </c>
      <c r="BA268" t="s">
        <v>67</v>
      </c>
      <c r="BB268" t="s">
        <v>317</v>
      </c>
    </row>
    <row r="269" spans="1:54" x14ac:dyDescent="0.3">
      <c r="A269">
        <v>1</v>
      </c>
      <c r="B269">
        <v>15</v>
      </c>
      <c r="C269" t="s">
        <v>54</v>
      </c>
      <c r="D269" s="3">
        <v>46298.401701388888</v>
      </c>
      <c r="E269" s="8">
        <v>46298</v>
      </c>
      <c r="F269" t="s">
        <v>1308</v>
      </c>
      <c r="G269" t="s">
        <v>1294</v>
      </c>
      <c r="H269" t="s">
        <v>222</v>
      </c>
      <c r="I269" t="s">
        <v>223</v>
      </c>
      <c r="J269" t="s">
        <v>749</v>
      </c>
      <c r="L269" t="s">
        <v>1071</v>
      </c>
      <c r="M269" t="s">
        <v>97</v>
      </c>
      <c r="N269" t="s">
        <v>97</v>
      </c>
      <c r="O269" t="s">
        <v>1302</v>
      </c>
      <c r="P269" t="s">
        <v>1303</v>
      </c>
      <c r="Q269" s="5">
        <v>3</v>
      </c>
      <c r="R269" s="6">
        <v>84</v>
      </c>
      <c r="S269" s="6">
        <v>252</v>
      </c>
      <c r="T269" s="6">
        <v>60.72</v>
      </c>
      <c r="U269" s="3">
        <v>46298.25</v>
      </c>
      <c r="W269" t="s">
        <v>1309</v>
      </c>
      <c r="X269" t="s">
        <v>70</v>
      </c>
      <c r="Y269" t="s">
        <v>68</v>
      </c>
      <c r="Z269" t="s">
        <v>69</v>
      </c>
      <c r="AA269" t="s">
        <v>69</v>
      </c>
      <c r="AB269" t="s">
        <v>67</v>
      </c>
      <c r="AC269" t="s">
        <v>67</v>
      </c>
      <c r="AD269" t="s">
        <v>101</v>
      </c>
      <c r="AE269" t="s">
        <v>220</v>
      </c>
      <c r="AF269" t="s">
        <v>67</v>
      </c>
      <c r="AG269" t="s">
        <v>1304</v>
      </c>
      <c r="AH269" t="b">
        <v>0</v>
      </c>
      <c r="AI269" t="b">
        <v>0</v>
      </c>
      <c r="AJ269" t="b">
        <v>0</v>
      </c>
      <c r="AK269" t="b">
        <v>0</v>
      </c>
      <c r="AL269" s="6">
        <v>20.239999999999998</v>
      </c>
      <c r="AM269" s="3">
        <v>46298.25</v>
      </c>
      <c r="AN269">
        <v>1</v>
      </c>
      <c r="AO269" s="3"/>
      <c r="AT269" t="b">
        <v>0</v>
      </c>
      <c r="AU269" t="s">
        <v>74</v>
      </c>
      <c r="AV269" t="b">
        <v>1</v>
      </c>
      <c r="AW269" t="b">
        <v>0</v>
      </c>
      <c r="AX269" s="5">
        <v>0</v>
      </c>
      <c r="AY269" s="3"/>
      <c r="AZ269" t="s">
        <v>67</v>
      </c>
      <c r="BA269" t="s">
        <v>67</v>
      </c>
      <c r="BB269" t="s">
        <v>317</v>
      </c>
    </row>
    <row r="270" spans="1:54" x14ac:dyDescent="0.3">
      <c r="A270">
        <v>1</v>
      </c>
      <c r="B270">
        <v>15</v>
      </c>
      <c r="C270" t="s">
        <v>54</v>
      </c>
      <c r="D270" s="3">
        <v>46298.401701388888</v>
      </c>
      <c r="E270" s="8">
        <v>46298</v>
      </c>
      <c r="F270" t="s">
        <v>1308</v>
      </c>
      <c r="G270" t="s">
        <v>1294</v>
      </c>
      <c r="H270" t="s">
        <v>222</v>
      </c>
      <c r="I270" t="s">
        <v>223</v>
      </c>
      <c r="J270" t="s">
        <v>749</v>
      </c>
      <c r="L270" t="s">
        <v>1071</v>
      </c>
      <c r="M270" t="s">
        <v>97</v>
      </c>
      <c r="N270" t="s">
        <v>97</v>
      </c>
      <c r="O270" t="s">
        <v>1313</v>
      </c>
      <c r="P270" t="s">
        <v>1314</v>
      </c>
      <c r="Q270" s="5">
        <v>3</v>
      </c>
      <c r="R270" s="6">
        <v>91.5</v>
      </c>
      <c r="S270" s="6">
        <v>274.5</v>
      </c>
      <c r="T270" s="6">
        <v>66.239999999999995</v>
      </c>
      <c r="U270" s="3">
        <v>46298.25</v>
      </c>
      <c r="W270" t="s">
        <v>1309</v>
      </c>
      <c r="X270" t="s">
        <v>70</v>
      </c>
      <c r="Y270" t="s">
        <v>68</v>
      </c>
      <c r="Z270" t="s">
        <v>69</v>
      </c>
      <c r="AA270" t="s">
        <v>69</v>
      </c>
      <c r="AB270" t="s">
        <v>67</v>
      </c>
      <c r="AC270" t="s">
        <v>67</v>
      </c>
      <c r="AD270" t="s">
        <v>101</v>
      </c>
      <c r="AE270" t="s">
        <v>220</v>
      </c>
      <c r="AF270" t="s">
        <v>67</v>
      </c>
      <c r="AG270" t="s">
        <v>1315</v>
      </c>
      <c r="AH270" t="b">
        <v>0</v>
      </c>
      <c r="AI270" t="b">
        <v>0</v>
      </c>
      <c r="AJ270" t="b">
        <v>0</v>
      </c>
      <c r="AK270" t="b">
        <v>0</v>
      </c>
      <c r="AL270" s="6">
        <v>22.08</v>
      </c>
      <c r="AM270" s="3">
        <v>46298.25</v>
      </c>
      <c r="AN270">
        <v>1</v>
      </c>
      <c r="AO270" s="3"/>
      <c r="AT270" t="b">
        <v>0</v>
      </c>
      <c r="AU270" t="s">
        <v>74</v>
      </c>
      <c r="AV270" t="b">
        <v>1</v>
      </c>
      <c r="AW270" t="b">
        <v>0</v>
      </c>
      <c r="AX270" s="5">
        <v>0</v>
      </c>
      <c r="AY270" s="3"/>
      <c r="AZ270" t="s">
        <v>67</v>
      </c>
      <c r="BA270" t="s">
        <v>67</v>
      </c>
      <c r="BB270" t="s">
        <v>317</v>
      </c>
    </row>
    <row r="271" spans="1:54" x14ac:dyDescent="0.3">
      <c r="A271">
        <v>1</v>
      </c>
      <c r="B271">
        <v>15</v>
      </c>
      <c r="C271" t="s">
        <v>54</v>
      </c>
      <c r="D271" s="3">
        <v>45309.451805555553</v>
      </c>
      <c r="E271" s="8">
        <v>45357</v>
      </c>
      <c r="F271" t="s">
        <v>1316</v>
      </c>
      <c r="G271" t="s">
        <v>56</v>
      </c>
      <c r="H271" t="s">
        <v>1317</v>
      </c>
      <c r="I271" t="s">
        <v>1318</v>
      </c>
      <c r="J271" t="s">
        <v>59</v>
      </c>
      <c r="L271" t="s">
        <v>217</v>
      </c>
      <c r="M271" t="s">
        <v>63</v>
      </c>
      <c r="N271" t="s">
        <v>63</v>
      </c>
      <c r="O271" t="s">
        <v>210</v>
      </c>
      <c r="P271" t="s">
        <v>211</v>
      </c>
      <c r="Q271" s="5">
        <v>1</v>
      </c>
      <c r="R271" s="6">
        <v>350</v>
      </c>
      <c r="S271" s="6">
        <v>350</v>
      </c>
      <c r="T271" s="6">
        <v>250</v>
      </c>
      <c r="U271" s="3">
        <v>45770.479166666657</v>
      </c>
      <c r="W271" t="s">
        <v>1319</v>
      </c>
      <c r="X271" t="s">
        <v>70</v>
      </c>
      <c r="Y271" t="s">
        <v>23</v>
      </c>
      <c r="Z271" t="s">
        <v>69</v>
      </c>
      <c r="AA271" t="s">
        <v>69</v>
      </c>
      <c r="AB271" t="s">
        <v>70</v>
      </c>
      <c r="AC271" t="s">
        <v>70</v>
      </c>
      <c r="AD271" t="s">
        <v>71</v>
      </c>
      <c r="AE271" t="s">
        <v>212</v>
      </c>
      <c r="AF271" t="s">
        <v>67</v>
      </c>
      <c r="AH271" t="b">
        <v>0</v>
      </c>
      <c r="AI271" t="b">
        <v>1</v>
      </c>
      <c r="AJ271" t="b">
        <v>0</v>
      </c>
      <c r="AK271" t="b">
        <v>1</v>
      </c>
      <c r="AL271" s="6">
        <v>250</v>
      </c>
      <c r="AM271" s="3">
        <v>45680.458333333343</v>
      </c>
      <c r="AN271">
        <v>1</v>
      </c>
      <c r="AO271" s="3"/>
      <c r="AT271" t="b">
        <v>0</v>
      </c>
      <c r="AU271" t="s">
        <v>74</v>
      </c>
      <c r="AV271" t="b">
        <v>1</v>
      </c>
      <c r="AW271" t="b">
        <v>0</v>
      </c>
      <c r="AX271" s="5">
        <v>0</v>
      </c>
      <c r="AY271" s="3"/>
      <c r="AZ271" t="s">
        <v>67</v>
      </c>
      <c r="BA271" t="s">
        <v>67</v>
      </c>
      <c r="BB271" t="s">
        <v>317</v>
      </c>
    </row>
    <row r="272" spans="1:54" x14ac:dyDescent="0.3">
      <c r="A272">
        <v>1</v>
      </c>
      <c r="B272">
        <v>15</v>
      </c>
      <c r="C272" t="s">
        <v>54</v>
      </c>
      <c r="D272" s="3">
        <v>45309.658993055556</v>
      </c>
      <c r="E272" s="8">
        <v>45309</v>
      </c>
      <c r="F272" t="s">
        <v>1320</v>
      </c>
      <c r="G272" t="s">
        <v>56</v>
      </c>
      <c r="H272" t="s">
        <v>892</v>
      </c>
      <c r="I272" t="s">
        <v>893</v>
      </c>
      <c r="J272" t="s">
        <v>336</v>
      </c>
      <c r="K272" t="s">
        <v>709</v>
      </c>
      <c r="L272" t="s">
        <v>1321</v>
      </c>
      <c r="M272" t="s">
        <v>97</v>
      </c>
      <c r="N272" t="s">
        <v>97</v>
      </c>
      <c r="O272" t="s">
        <v>1322</v>
      </c>
      <c r="P272" t="s">
        <v>1323</v>
      </c>
      <c r="Q272" s="5">
        <v>2</v>
      </c>
      <c r="R272" s="6">
        <v>155</v>
      </c>
      <c r="S272" s="6">
        <v>310</v>
      </c>
      <c r="T272" s="6">
        <v>200</v>
      </c>
      <c r="U272" s="3">
        <v>45856.458333333343</v>
      </c>
      <c r="W272" t="s">
        <v>894</v>
      </c>
      <c r="X272" t="s">
        <v>70</v>
      </c>
      <c r="Y272" t="s">
        <v>23</v>
      </c>
      <c r="Z272" t="s">
        <v>69</v>
      </c>
      <c r="AA272" t="s">
        <v>69</v>
      </c>
      <c r="AB272" t="s">
        <v>67</v>
      </c>
      <c r="AC272" t="s">
        <v>70</v>
      </c>
      <c r="AD272" t="s">
        <v>101</v>
      </c>
      <c r="AF272" t="s">
        <v>67</v>
      </c>
      <c r="AH272" t="b">
        <v>0</v>
      </c>
      <c r="AI272" t="b">
        <v>0</v>
      </c>
      <c r="AJ272" t="b">
        <v>0</v>
      </c>
      <c r="AK272" t="b">
        <v>0</v>
      </c>
      <c r="AL272" s="6">
        <v>100</v>
      </c>
      <c r="AM272" s="3">
        <v>45371.270833333343</v>
      </c>
      <c r="AN272">
        <v>1</v>
      </c>
      <c r="AO272" s="3"/>
      <c r="AT272" t="b">
        <v>0</v>
      </c>
      <c r="AU272" t="s">
        <v>74</v>
      </c>
      <c r="AV272" t="b">
        <v>1</v>
      </c>
      <c r="AW272" t="b">
        <v>0</v>
      </c>
      <c r="AX272" s="5">
        <v>0</v>
      </c>
      <c r="AY272" s="3"/>
      <c r="AZ272" t="s">
        <v>67</v>
      </c>
      <c r="BA272" t="s">
        <v>67</v>
      </c>
      <c r="BB272" t="s">
        <v>317</v>
      </c>
    </row>
    <row r="273" spans="1:54" x14ac:dyDescent="0.3">
      <c r="A273">
        <v>1</v>
      </c>
      <c r="B273">
        <v>15</v>
      </c>
      <c r="C273" t="s">
        <v>54</v>
      </c>
      <c r="D273" s="3">
        <v>45309.658993055556</v>
      </c>
      <c r="E273" s="8">
        <v>45309</v>
      </c>
      <c r="F273" t="s">
        <v>1320</v>
      </c>
      <c r="G273" t="s">
        <v>56</v>
      </c>
      <c r="H273" t="s">
        <v>892</v>
      </c>
      <c r="I273" t="s">
        <v>893</v>
      </c>
      <c r="J273" t="s">
        <v>336</v>
      </c>
      <c r="K273" t="s">
        <v>709</v>
      </c>
      <c r="L273" t="s">
        <v>1321</v>
      </c>
      <c r="M273" t="s">
        <v>97</v>
      </c>
      <c r="N273" t="s">
        <v>97</v>
      </c>
      <c r="O273" t="s">
        <v>1324</v>
      </c>
      <c r="P273" t="s">
        <v>1325</v>
      </c>
      <c r="Q273" s="5">
        <v>1</v>
      </c>
      <c r="R273" s="6">
        <v>224.75</v>
      </c>
      <c r="S273" s="6">
        <v>224.75</v>
      </c>
      <c r="T273" s="6">
        <v>145</v>
      </c>
      <c r="U273" s="3">
        <v>45856.458333333343</v>
      </c>
      <c r="W273" t="s">
        <v>894</v>
      </c>
      <c r="X273" t="s">
        <v>70</v>
      </c>
      <c r="Y273" t="s">
        <v>23</v>
      </c>
      <c r="Z273" t="s">
        <v>69</v>
      </c>
      <c r="AA273" t="s">
        <v>69</v>
      </c>
      <c r="AB273" t="s">
        <v>67</v>
      </c>
      <c r="AC273" t="s">
        <v>70</v>
      </c>
      <c r="AD273" t="s">
        <v>101</v>
      </c>
      <c r="AF273" t="s">
        <v>67</v>
      </c>
      <c r="AH273" t="b">
        <v>0</v>
      </c>
      <c r="AI273" t="b">
        <v>0</v>
      </c>
      <c r="AJ273" t="b">
        <v>0</v>
      </c>
      <c r="AK273" t="b">
        <v>0</v>
      </c>
      <c r="AL273" s="6">
        <v>145</v>
      </c>
      <c r="AM273" s="3">
        <v>45371.270833333343</v>
      </c>
      <c r="AN273">
        <v>1</v>
      </c>
      <c r="AO273" s="3"/>
      <c r="AT273" t="b">
        <v>0</v>
      </c>
      <c r="AU273" t="s">
        <v>74</v>
      </c>
      <c r="AV273" t="b">
        <v>1</v>
      </c>
      <c r="AW273" t="b">
        <v>0</v>
      </c>
      <c r="AX273" s="5">
        <v>0</v>
      </c>
      <c r="AY273" s="3"/>
      <c r="AZ273" t="s">
        <v>67</v>
      </c>
      <c r="BA273" t="s">
        <v>67</v>
      </c>
      <c r="BB273" t="s">
        <v>317</v>
      </c>
    </row>
    <row r="274" spans="1:54" x14ac:dyDescent="0.3">
      <c r="A274">
        <v>1</v>
      </c>
      <c r="B274">
        <v>15</v>
      </c>
      <c r="C274" t="s">
        <v>54</v>
      </c>
      <c r="D274" s="3">
        <v>45309.658993055556</v>
      </c>
      <c r="E274" s="8">
        <v>45309</v>
      </c>
      <c r="F274" t="s">
        <v>1320</v>
      </c>
      <c r="G274" t="s">
        <v>56</v>
      </c>
      <c r="H274" t="s">
        <v>892</v>
      </c>
      <c r="I274" t="s">
        <v>893</v>
      </c>
      <c r="J274" t="s">
        <v>336</v>
      </c>
      <c r="K274" t="s">
        <v>709</v>
      </c>
      <c r="L274" t="s">
        <v>1321</v>
      </c>
      <c r="M274" t="s">
        <v>97</v>
      </c>
      <c r="N274" t="s">
        <v>97</v>
      </c>
      <c r="O274" t="s">
        <v>1326</v>
      </c>
      <c r="P274" t="s">
        <v>1327</v>
      </c>
      <c r="Q274" s="5">
        <v>2</v>
      </c>
      <c r="R274" s="6">
        <v>155</v>
      </c>
      <c r="S274" s="6">
        <v>310</v>
      </c>
      <c r="T274" s="6">
        <v>200</v>
      </c>
      <c r="U274" s="3">
        <v>45856.458333333343</v>
      </c>
      <c r="W274" t="s">
        <v>894</v>
      </c>
      <c r="X274" t="s">
        <v>70</v>
      </c>
      <c r="Y274" t="s">
        <v>23</v>
      </c>
      <c r="Z274" t="s">
        <v>69</v>
      </c>
      <c r="AA274" t="s">
        <v>69</v>
      </c>
      <c r="AB274" t="s">
        <v>67</v>
      </c>
      <c r="AC274" t="s">
        <v>70</v>
      </c>
      <c r="AD274" t="s">
        <v>101</v>
      </c>
      <c r="AF274" t="s">
        <v>67</v>
      </c>
      <c r="AH274" t="b">
        <v>0</v>
      </c>
      <c r="AI274" t="b">
        <v>0</v>
      </c>
      <c r="AJ274" t="b">
        <v>0</v>
      </c>
      <c r="AK274" t="b">
        <v>0</v>
      </c>
      <c r="AL274" s="6">
        <v>100</v>
      </c>
      <c r="AM274" s="3">
        <v>45371.270833333343</v>
      </c>
      <c r="AN274">
        <v>1</v>
      </c>
      <c r="AO274" s="3"/>
      <c r="AT274" t="b">
        <v>0</v>
      </c>
      <c r="AU274" t="s">
        <v>74</v>
      </c>
      <c r="AV274" t="b">
        <v>1</v>
      </c>
      <c r="AW274" t="b">
        <v>0</v>
      </c>
      <c r="AX274" s="5">
        <v>0</v>
      </c>
      <c r="AY274" s="3"/>
      <c r="AZ274" t="s">
        <v>67</v>
      </c>
      <c r="BA274" t="s">
        <v>67</v>
      </c>
      <c r="BB274" t="s">
        <v>317</v>
      </c>
    </row>
    <row r="275" spans="1:54" x14ac:dyDescent="0.3">
      <c r="A275">
        <v>1</v>
      </c>
      <c r="B275">
        <v>15</v>
      </c>
      <c r="C275" t="s">
        <v>54</v>
      </c>
      <c r="D275" s="3">
        <v>45309.658993055556</v>
      </c>
      <c r="E275" s="8">
        <v>45309</v>
      </c>
      <c r="F275" t="s">
        <v>1320</v>
      </c>
      <c r="G275" t="s">
        <v>56</v>
      </c>
      <c r="H275" t="s">
        <v>892</v>
      </c>
      <c r="I275" t="s">
        <v>893</v>
      </c>
      <c r="J275" t="s">
        <v>336</v>
      </c>
      <c r="K275" t="s">
        <v>709</v>
      </c>
      <c r="L275" t="s">
        <v>1321</v>
      </c>
      <c r="M275" t="s">
        <v>97</v>
      </c>
      <c r="N275" t="s">
        <v>97</v>
      </c>
      <c r="O275" t="s">
        <v>1328</v>
      </c>
      <c r="P275" t="s">
        <v>1329</v>
      </c>
      <c r="Q275" s="5">
        <v>2</v>
      </c>
      <c r="R275" s="6">
        <v>387.5</v>
      </c>
      <c r="S275" s="6">
        <v>775</v>
      </c>
      <c r="T275" s="6">
        <v>500</v>
      </c>
      <c r="U275" s="3">
        <v>45856.458333333343</v>
      </c>
      <c r="W275" t="s">
        <v>894</v>
      </c>
      <c r="X275" t="s">
        <v>70</v>
      </c>
      <c r="Y275" t="s">
        <v>23</v>
      </c>
      <c r="Z275" t="s">
        <v>69</v>
      </c>
      <c r="AA275" t="s">
        <v>69</v>
      </c>
      <c r="AB275" t="s">
        <v>67</v>
      </c>
      <c r="AC275" t="s">
        <v>70</v>
      </c>
      <c r="AD275" t="s">
        <v>101</v>
      </c>
      <c r="AF275" t="s">
        <v>67</v>
      </c>
      <c r="AH275" t="b">
        <v>0</v>
      </c>
      <c r="AI275" t="b">
        <v>0</v>
      </c>
      <c r="AJ275" t="b">
        <v>0</v>
      </c>
      <c r="AK275" t="b">
        <v>0</v>
      </c>
      <c r="AL275" s="6">
        <v>250</v>
      </c>
      <c r="AM275" s="3">
        <v>45371.270833333343</v>
      </c>
      <c r="AN275">
        <v>1</v>
      </c>
      <c r="AO275" s="3"/>
      <c r="AT275" t="b">
        <v>0</v>
      </c>
      <c r="AU275" t="s">
        <v>74</v>
      </c>
      <c r="AV275" t="b">
        <v>1</v>
      </c>
      <c r="AW275" t="b">
        <v>0</v>
      </c>
      <c r="AX275" s="5">
        <v>0</v>
      </c>
      <c r="AY275" s="3"/>
      <c r="AZ275" t="s">
        <v>67</v>
      </c>
      <c r="BA275" t="s">
        <v>67</v>
      </c>
      <c r="BB275" t="s">
        <v>317</v>
      </c>
    </row>
    <row r="276" spans="1:54" x14ac:dyDescent="0.3">
      <c r="A276">
        <v>1</v>
      </c>
      <c r="B276">
        <v>15</v>
      </c>
      <c r="C276" t="s">
        <v>54</v>
      </c>
      <c r="D276" s="3">
        <v>45309.658993055556</v>
      </c>
      <c r="E276" s="8">
        <v>45309</v>
      </c>
      <c r="F276" t="s">
        <v>1320</v>
      </c>
      <c r="G276" t="s">
        <v>56</v>
      </c>
      <c r="H276" t="s">
        <v>892</v>
      </c>
      <c r="I276" t="s">
        <v>893</v>
      </c>
      <c r="J276" t="s">
        <v>336</v>
      </c>
      <c r="K276" t="s">
        <v>709</v>
      </c>
      <c r="L276" t="s">
        <v>1321</v>
      </c>
      <c r="M276" t="s">
        <v>97</v>
      </c>
      <c r="N276" t="s">
        <v>97</v>
      </c>
      <c r="O276" t="s">
        <v>903</v>
      </c>
      <c r="P276" t="s">
        <v>904</v>
      </c>
      <c r="Q276" s="5">
        <v>2</v>
      </c>
      <c r="R276" s="6">
        <v>155</v>
      </c>
      <c r="S276" s="6">
        <v>310</v>
      </c>
      <c r="T276" s="6">
        <v>200</v>
      </c>
      <c r="U276" s="3">
        <v>45856.458333333343</v>
      </c>
      <c r="W276" t="s">
        <v>894</v>
      </c>
      <c r="X276" t="s">
        <v>70</v>
      </c>
      <c r="Y276" t="s">
        <v>23</v>
      </c>
      <c r="Z276" t="s">
        <v>69</v>
      </c>
      <c r="AA276" t="s">
        <v>69</v>
      </c>
      <c r="AB276" t="s">
        <v>67</v>
      </c>
      <c r="AC276" t="s">
        <v>70</v>
      </c>
      <c r="AD276" t="s">
        <v>101</v>
      </c>
      <c r="AE276" t="s">
        <v>102</v>
      </c>
      <c r="AF276" t="s">
        <v>67</v>
      </c>
      <c r="AH276" t="b">
        <v>0</v>
      </c>
      <c r="AI276" t="b">
        <v>0</v>
      </c>
      <c r="AJ276" t="b">
        <v>0</v>
      </c>
      <c r="AK276" t="b">
        <v>0</v>
      </c>
      <c r="AL276" s="6">
        <v>100</v>
      </c>
      <c r="AM276" s="3">
        <v>45371.270833333343</v>
      </c>
      <c r="AN276">
        <v>1</v>
      </c>
      <c r="AO276" s="3"/>
      <c r="AT276" t="b">
        <v>0</v>
      </c>
      <c r="AU276" t="s">
        <v>74</v>
      </c>
      <c r="AV276" t="b">
        <v>1</v>
      </c>
      <c r="AW276" t="b">
        <v>0</v>
      </c>
      <c r="AX276" s="5">
        <v>0</v>
      </c>
      <c r="AY276" s="3"/>
      <c r="AZ276" t="s">
        <v>67</v>
      </c>
      <c r="BA276" t="s">
        <v>67</v>
      </c>
      <c r="BB276" t="s">
        <v>317</v>
      </c>
    </row>
    <row r="277" spans="1:54" x14ac:dyDescent="0.3">
      <c r="A277">
        <v>1</v>
      </c>
      <c r="B277">
        <v>15</v>
      </c>
      <c r="C277" t="s">
        <v>54</v>
      </c>
      <c r="D277" s="3">
        <v>45324.379872685182</v>
      </c>
      <c r="E277" s="8">
        <v>45324</v>
      </c>
      <c r="F277" t="s">
        <v>1330</v>
      </c>
      <c r="G277" t="s">
        <v>56</v>
      </c>
      <c r="H277" t="s">
        <v>1331</v>
      </c>
      <c r="I277" t="s">
        <v>1332</v>
      </c>
      <c r="J277" t="s">
        <v>310</v>
      </c>
      <c r="K277" t="s">
        <v>326</v>
      </c>
      <c r="L277" t="s">
        <v>311</v>
      </c>
      <c r="M277" t="s">
        <v>312</v>
      </c>
      <c r="O277" t="s">
        <v>313</v>
      </c>
      <c r="P277" t="s">
        <v>314</v>
      </c>
      <c r="Q277" s="5">
        <v>1</v>
      </c>
      <c r="R277" s="6">
        <v>100</v>
      </c>
      <c r="S277" s="6">
        <v>100</v>
      </c>
      <c r="T277" s="6">
        <v>0</v>
      </c>
      <c r="U277" s="3">
        <v>45324.25</v>
      </c>
      <c r="W277" t="s">
        <v>1333</v>
      </c>
      <c r="X277" t="s">
        <v>70</v>
      </c>
      <c r="Y277" t="s">
        <v>23</v>
      </c>
      <c r="Z277" t="s">
        <v>69</v>
      </c>
      <c r="AA277" t="s">
        <v>69</v>
      </c>
      <c r="AB277" t="s">
        <v>70</v>
      </c>
      <c r="AC277" t="s">
        <v>70</v>
      </c>
      <c r="AD277" t="s">
        <v>316</v>
      </c>
      <c r="AE277" t="s">
        <v>102</v>
      </c>
      <c r="AF277" t="s">
        <v>67</v>
      </c>
      <c r="AH277" t="b">
        <v>0</v>
      </c>
      <c r="AI277" t="b">
        <v>0</v>
      </c>
      <c r="AJ277" t="b">
        <v>0</v>
      </c>
      <c r="AK277" t="b">
        <v>0</v>
      </c>
      <c r="AL277" s="6">
        <v>0</v>
      </c>
      <c r="AM277" s="3">
        <v>45324.25</v>
      </c>
      <c r="AN277">
        <v>1</v>
      </c>
      <c r="AO277" s="3"/>
      <c r="AT277" t="b">
        <v>0</v>
      </c>
      <c r="AU277" t="s">
        <v>74</v>
      </c>
      <c r="AV277" t="b">
        <v>1</v>
      </c>
      <c r="AW277" t="b">
        <v>0</v>
      </c>
      <c r="AX277" s="5">
        <v>0</v>
      </c>
      <c r="AY277" s="3"/>
      <c r="AZ277" t="s">
        <v>67</v>
      </c>
      <c r="BA277" t="s">
        <v>67</v>
      </c>
      <c r="BB277" t="s">
        <v>317</v>
      </c>
    </row>
    <row r="278" spans="1:54" x14ac:dyDescent="0.3">
      <c r="A278">
        <v>1</v>
      </c>
      <c r="B278">
        <v>15</v>
      </c>
      <c r="C278" t="s">
        <v>54</v>
      </c>
      <c r="D278" s="3">
        <v>45325.365127314813</v>
      </c>
      <c r="E278" s="8">
        <v>45325</v>
      </c>
      <c r="F278" t="s">
        <v>1334</v>
      </c>
      <c r="G278" t="s">
        <v>56</v>
      </c>
      <c r="H278" t="s">
        <v>1335</v>
      </c>
      <c r="I278" t="s">
        <v>1336</v>
      </c>
      <c r="J278" t="s">
        <v>310</v>
      </c>
      <c r="L278" t="s">
        <v>311</v>
      </c>
      <c r="M278" t="s">
        <v>312</v>
      </c>
      <c r="O278" t="s">
        <v>313</v>
      </c>
      <c r="P278" t="s">
        <v>314</v>
      </c>
      <c r="Q278" s="5">
        <v>1</v>
      </c>
      <c r="R278" s="6">
        <v>100</v>
      </c>
      <c r="S278" s="6">
        <v>100</v>
      </c>
      <c r="T278" s="6">
        <v>0</v>
      </c>
      <c r="U278" s="3">
        <v>45647.479166666657</v>
      </c>
      <c r="W278" t="s">
        <v>1337</v>
      </c>
      <c r="X278" t="s">
        <v>70</v>
      </c>
      <c r="Y278" t="s">
        <v>23</v>
      </c>
      <c r="Z278" t="s">
        <v>69</v>
      </c>
      <c r="AA278" t="s">
        <v>69</v>
      </c>
      <c r="AB278" t="s">
        <v>70</v>
      </c>
      <c r="AC278" t="s">
        <v>70</v>
      </c>
      <c r="AD278" t="s">
        <v>316</v>
      </c>
      <c r="AE278" t="s">
        <v>102</v>
      </c>
      <c r="AF278" t="s">
        <v>67</v>
      </c>
      <c r="AH278" t="b">
        <v>1</v>
      </c>
      <c r="AI278" t="b">
        <v>1</v>
      </c>
      <c r="AJ278" t="b">
        <v>0</v>
      </c>
      <c r="AK278" t="b">
        <v>1</v>
      </c>
      <c r="AL278" s="6">
        <v>0</v>
      </c>
      <c r="AM278" s="3">
        <v>45325.25</v>
      </c>
      <c r="AN278">
        <v>1</v>
      </c>
      <c r="AO278" s="3"/>
      <c r="AT278" t="b">
        <v>0</v>
      </c>
      <c r="AU278" t="s">
        <v>74</v>
      </c>
      <c r="AV278" t="b">
        <v>1</v>
      </c>
      <c r="AW278" t="b">
        <v>0</v>
      </c>
      <c r="AX278" s="5">
        <v>0</v>
      </c>
      <c r="AY278" s="3"/>
      <c r="AZ278" t="s">
        <v>67</v>
      </c>
      <c r="BA278" t="s">
        <v>67</v>
      </c>
      <c r="BB278" t="s">
        <v>317</v>
      </c>
    </row>
    <row r="279" spans="1:54" x14ac:dyDescent="0.3">
      <c r="A279">
        <v>1</v>
      </c>
      <c r="B279">
        <v>15</v>
      </c>
      <c r="C279" t="s">
        <v>54</v>
      </c>
      <c r="D279" s="3">
        <v>45343.734652777777</v>
      </c>
      <c r="E279" s="8">
        <v>45904</v>
      </c>
      <c r="F279" t="s">
        <v>1338</v>
      </c>
      <c r="G279" t="s">
        <v>56</v>
      </c>
      <c r="H279" t="s">
        <v>1339</v>
      </c>
      <c r="I279" t="s">
        <v>1340</v>
      </c>
      <c r="J279" t="s">
        <v>336</v>
      </c>
      <c r="K279" t="s">
        <v>1341</v>
      </c>
      <c r="L279" t="s">
        <v>338</v>
      </c>
      <c r="M279" t="s">
        <v>97</v>
      </c>
      <c r="N279" t="s">
        <v>97</v>
      </c>
      <c r="O279" t="s">
        <v>916</v>
      </c>
      <c r="P279" t="s">
        <v>917</v>
      </c>
      <c r="Q279" s="5">
        <v>1</v>
      </c>
      <c r="R279" s="6">
        <v>1023</v>
      </c>
      <c r="S279" s="6">
        <v>1023</v>
      </c>
      <c r="T279" s="6">
        <v>660</v>
      </c>
      <c r="U279" s="3">
        <v>45397.458333333343</v>
      </c>
      <c r="W279" t="s">
        <v>1342</v>
      </c>
      <c r="X279" t="s">
        <v>70</v>
      </c>
      <c r="Y279" t="s">
        <v>23</v>
      </c>
      <c r="Z279" t="s">
        <v>69</v>
      </c>
      <c r="AA279" t="s">
        <v>69</v>
      </c>
      <c r="AB279" t="s">
        <v>70</v>
      </c>
      <c r="AC279" t="s">
        <v>70</v>
      </c>
      <c r="AD279" t="s">
        <v>101</v>
      </c>
      <c r="AF279" t="s">
        <v>67</v>
      </c>
      <c r="AH279" t="b">
        <v>0</v>
      </c>
      <c r="AI279" t="b">
        <v>0</v>
      </c>
      <c r="AJ279" t="b">
        <v>0</v>
      </c>
      <c r="AK279" t="b">
        <v>0</v>
      </c>
      <c r="AL279" s="6">
        <v>660</v>
      </c>
      <c r="AM279" s="3">
        <v>45397.458333333343</v>
      </c>
      <c r="AN279">
        <v>1</v>
      </c>
      <c r="AO279" s="3"/>
      <c r="AT279" t="b">
        <v>0</v>
      </c>
      <c r="AU279" t="s">
        <v>74</v>
      </c>
      <c r="AV279" t="b">
        <v>1</v>
      </c>
      <c r="AW279" t="b">
        <v>0</v>
      </c>
      <c r="AX279" s="5">
        <v>0</v>
      </c>
      <c r="AY279" s="3"/>
      <c r="AZ279" t="s">
        <v>67</v>
      </c>
      <c r="BA279" t="s">
        <v>67</v>
      </c>
      <c r="BB279" t="s">
        <v>317</v>
      </c>
    </row>
    <row r="280" spans="1:54" x14ac:dyDescent="0.3">
      <c r="A280">
        <v>1</v>
      </c>
      <c r="B280">
        <v>15</v>
      </c>
      <c r="C280" t="s">
        <v>54</v>
      </c>
      <c r="D280" s="3">
        <v>45343.734652777777</v>
      </c>
      <c r="E280" s="8">
        <v>45904</v>
      </c>
      <c r="F280" t="s">
        <v>1338</v>
      </c>
      <c r="G280" t="s">
        <v>56</v>
      </c>
      <c r="H280" t="s">
        <v>1339</v>
      </c>
      <c r="I280" t="s">
        <v>1340</v>
      </c>
      <c r="J280" t="s">
        <v>336</v>
      </c>
      <c r="K280" t="s">
        <v>1341</v>
      </c>
      <c r="L280" t="s">
        <v>338</v>
      </c>
      <c r="M280" t="s">
        <v>97</v>
      </c>
      <c r="N280" t="s">
        <v>97</v>
      </c>
      <c r="O280" t="s">
        <v>918</v>
      </c>
      <c r="P280" t="s">
        <v>919</v>
      </c>
      <c r="Q280" s="5">
        <v>4</v>
      </c>
      <c r="R280" s="6">
        <v>77.5</v>
      </c>
      <c r="S280" s="6">
        <v>310</v>
      </c>
      <c r="T280" s="6">
        <v>200</v>
      </c>
      <c r="U280" s="3">
        <v>45397.458333333343</v>
      </c>
      <c r="W280" t="s">
        <v>1342</v>
      </c>
      <c r="X280" t="s">
        <v>70</v>
      </c>
      <c r="Y280" t="s">
        <v>23</v>
      </c>
      <c r="Z280" t="s">
        <v>69</v>
      </c>
      <c r="AA280" t="s">
        <v>69</v>
      </c>
      <c r="AB280" t="s">
        <v>70</v>
      </c>
      <c r="AC280" t="s">
        <v>70</v>
      </c>
      <c r="AD280" t="s">
        <v>101</v>
      </c>
      <c r="AE280" t="s">
        <v>102</v>
      </c>
      <c r="AF280" t="s">
        <v>67</v>
      </c>
      <c r="AH280" t="b">
        <v>0</v>
      </c>
      <c r="AI280" t="b">
        <v>0</v>
      </c>
      <c r="AJ280" t="b">
        <v>0</v>
      </c>
      <c r="AK280" t="b">
        <v>0</v>
      </c>
      <c r="AL280" s="6">
        <v>50</v>
      </c>
      <c r="AM280" s="3">
        <v>45397.458333333343</v>
      </c>
      <c r="AN280">
        <v>1</v>
      </c>
      <c r="AO280" s="3"/>
      <c r="AT280" t="b">
        <v>0</v>
      </c>
      <c r="AU280" t="s">
        <v>74</v>
      </c>
      <c r="AV280" t="b">
        <v>1</v>
      </c>
      <c r="AW280" t="b">
        <v>0</v>
      </c>
      <c r="AX280" s="5">
        <v>0</v>
      </c>
      <c r="AY280" s="3"/>
      <c r="AZ280" t="s">
        <v>67</v>
      </c>
      <c r="BA280" t="s">
        <v>67</v>
      </c>
      <c r="BB280" t="s">
        <v>317</v>
      </c>
    </row>
    <row r="281" spans="1:54" x14ac:dyDescent="0.3">
      <c r="A281">
        <v>1</v>
      </c>
      <c r="B281">
        <v>15</v>
      </c>
      <c r="C281" t="s">
        <v>54</v>
      </c>
      <c r="D281" s="3">
        <v>45343.734652777777</v>
      </c>
      <c r="E281" s="8">
        <v>45904</v>
      </c>
      <c r="F281" t="s">
        <v>1338</v>
      </c>
      <c r="G281" t="s">
        <v>56</v>
      </c>
      <c r="H281" t="s">
        <v>1339</v>
      </c>
      <c r="I281" t="s">
        <v>1340</v>
      </c>
      <c r="J281" t="s">
        <v>336</v>
      </c>
      <c r="K281" t="s">
        <v>1341</v>
      </c>
      <c r="L281" t="s">
        <v>338</v>
      </c>
      <c r="M281" t="s">
        <v>97</v>
      </c>
      <c r="N281" t="s">
        <v>97</v>
      </c>
      <c r="O281" t="s">
        <v>920</v>
      </c>
      <c r="P281" t="s">
        <v>921</v>
      </c>
      <c r="Q281" s="5">
        <v>1</v>
      </c>
      <c r="R281" s="6">
        <v>613.79999999999995</v>
      </c>
      <c r="S281" s="6">
        <v>613.79999999999995</v>
      </c>
      <c r="T281" s="6">
        <v>396</v>
      </c>
      <c r="U281" s="3">
        <v>45397.458333333343</v>
      </c>
      <c r="W281" t="s">
        <v>1342</v>
      </c>
      <c r="X281" t="s">
        <v>70</v>
      </c>
      <c r="Y281" t="s">
        <v>23</v>
      </c>
      <c r="Z281" t="s">
        <v>69</v>
      </c>
      <c r="AA281" t="s">
        <v>69</v>
      </c>
      <c r="AB281" t="s">
        <v>70</v>
      </c>
      <c r="AC281" t="s">
        <v>70</v>
      </c>
      <c r="AD281" t="s">
        <v>101</v>
      </c>
      <c r="AE281" t="s">
        <v>102</v>
      </c>
      <c r="AF281" t="s">
        <v>67</v>
      </c>
      <c r="AH281" t="b">
        <v>0</v>
      </c>
      <c r="AI281" t="b">
        <v>0</v>
      </c>
      <c r="AJ281" t="b">
        <v>0</v>
      </c>
      <c r="AK281" t="b">
        <v>0</v>
      </c>
      <c r="AL281" s="6">
        <v>396</v>
      </c>
      <c r="AM281" s="3">
        <v>45397.458333333343</v>
      </c>
      <c r="AN281">
        <v>1</v>
      </c>
      <c r="AO281" s="3"/>
      <c r="AT281" t="b">
        <v>0</v>
      </c>
      <c r="AU281" t="s">
        <v>74</v>
      </c>
      <c r="AV281" t="b">
        <v>1</v>
      </c>
      <c r="AW281" t="b">
        <v>0</v>
      </c>
      <c r="AX281" s="5">
        <v>0</v>
      </c>
      <c r="AY281" s="3"/>
      <c r="AZ281" t="s">
        <v>67</v>
      </c>
      <c r="BA281" t="s">
        <v>67</v>
      </c>
      <c r="BB281" t="s">
        <v>317</v>
      </c>
    </row>
    <row r="282" spans="1:54" x14ac:dyDescent="0.3">
      <c r="A282">
        <v>1</v>
      </c>
      <c r="B282">
        <v>15</v>
      </c>
      <c r="C282" t="s">
        <v>54</v>
      </c>
      <c r="D282" s="3">
        <v>45343.734652777777</v>
      </c>
      <c r="E282" s="8">
        <v>45904</v>
      </c>
      <c r="F282" t="s">
        <v>1338</v>
      </c>
      <c r="G282" t="s">
        <v>56</v>
      </c>
      <c r="H282" t="s">
        <v>1339</v>
      </c>
      <c r="I282" t="s">
        <v>1340</v>
      </c>
      <c r="J282" t="s">
        <v>336</v>
      </c>
      <c r="K282" t="s">
        <v>1341</v>
      </c>
      <c r="L282" t="s">
        <v>338</v>
      </c>
      <c r="M282" t="s">
        <v>97</v>
      </c>
      <c r="N282" t="s">
        <v>97</v>
      </c>
      <c r="O282" t="s">
        <v>903</v>
      </c>
      <c r="P282" t="s">
        <v>904</v>
      </c>
      <c r="Q282" s="5">
        <v>1</v>
      </c>
      <c r="R282" s="6">
        <v>155</v>
      </c>
      <c r="S282" s="6">
        <v>155</v>
      </c>
      <c r="T282" s="6">
        <v>100</v>
      </c>
      <c r="U282" s="3">
        <v>45397.458333333343</v>
      </c>
      <c r="W282" t="s">
        <v>1342</v>
      </c>
      <c r="X282" t="s">
        <v>70</v>
      </c>
      <c r="Y282" t="s">
        <v>23</v>
      </c>
      <c r="Z282" t="s">
        <v>69</v>
      </c>
      <c r="AA282" t="s">
        <v>69</v>
      </c>
      <c r="AB282" t="s">
        <v>70</v>
      </c>
      <c r="AC282" t="s">
        <v>70</v>
      </c>
      <c r="AD282" t="s">
        <v>101</v>
      </c>
      <c r="AE282" t="s">
        <v>102</v>
      </c>
      <c r="AF282" t="s">
        <v>67</v>
      </c>
      <c r="AH282" t="b">
        <v>0</v>
      </c>
      <c r="AI282" t="b">
        <v>0</v>
      </c>
      <c r="AJ282" t="b">
        <v>0</v>
      </c>
      <c r="AK282" t="b">
        <v>0</v>
      </c>
      <c r="AL282" s="6">
        <v>100</v>
      </c>
      <c r="AM282" s="3">
        <v>45397.458333333343</v>
      </c>
      <c r="AN282">
        <v>1</v>
      </c>
      <c r="AO282" s="3"/>
      <c r="AT282" t="b">
        <v>0</v>
      </c>
      <c r="AU282" t="s">
        <v>74</v>
      </c>
      <c r="AV282" t="b">
        <v>1</v>
      </c>
      <c r="AW282" t="b">
        <v>0</v>
      </c>
      <c r="AX282" s="5">
        <v>0</v>
      </c>
      <c r="AY282" s="3"/>
      <c r="AZ282" t="s">
        <v>67</v>
      </c>
      <c r="BA282" t="s">
        <v>67</v>
      </c>
      <c r="BB282" t="s">
        <v>317</v>
      </c>
    </row>
    <row r="283" spans="1:54" x14ac:dyDescent="0.3">
      <c r="A283">
        <v>1</v>
      </c>
      <c r="B283">
        <v>15</v>
      </c>
      <c r="C283" t="s">
        <v>54</v>
      </c>
      <c r="D283" s="3">
        <v>45343.734652777777</v>
      </c>
      <c r="E283" s="8">
        <v>45904</v>
      </c>
      <c r="F283" t="s">
        <v>1338</v>
      </c>
      <c r="G283" t="s">
        <v>56</v>
      </c>
      <c r="H283" t="s">
        <v>1339</v>
      </c>
      <c r="I283" t="s">
        <v>1340</v>
      </c>
      <c r="J283" t="s">
        <v>336</v>
      </c>
      <c r="K283" t="s">
        <v>1341</v>
      </c>
      <c r="L283" t="s">
        <v>338</v>
      </c>
      <c r="M283" t="s">
        <v>97</v>
      </c>
      <c r="N283" t="s">
        <v>97</v>
      </c>
      <c r="O283" t="s">
        <v>1072</v>
      </c>
      <c r="P283" t="s">
        <v>1073</v>
      </c>
      <c r="Q283" s="5">
        <v>1</v>
      </c>
      <c r="R283" s="6">
        <v>651</v>
      </c>
      <c r="S283" s="6">
        <v>651</v>
      </c>
      <c r="T283" s="6">
        <v>420</v>
      </c>
      <c r="U283" s="3">
        <v>45397.458333333343</v>
      </c>
      <c r="W283" t="s">
        <v>1342</v>
      </c>
      <c r="X283" t="s">
        <v>70</v>
      </c>
      <c r="Y283" t="s">
        <v>23</v>
      </c>
      <c r="Z283" t="s">
        <v>69</v>
      </c>
      <c r="AA283" t="s">
        <v>69</v>
      </c>
      <c r="AB283" t="s">
        <v>70</v>
      </c>
      <c r="AC283" t="s">
        <v>70</v>
      </c>
      <c r="AD283" t="s">
        <v>101</v>
      </c>
      <c r="AE283" t="s">
        <v>102</v>
      </c>
      <c r="AF283" t="s">
        <v>67</v>
      </c>
      <c r="AH283" t="b">
        <v>0</v>
      </c>
      <c r="AI283" t="b">
        <v>0</v>
      </c>
      <c r="AJ283" t="b">
        <v>0</v>
      </c>
      <c r="AK283" t="b">
        <v>0</v>
      </c>
      <c r="AL283" s="6">
        <v>420</v>
      </c>
      <c r="AM283" s="3">
        <v>45397.458333333343</v>
      </c>
      <c r="AN283">
        <v>1</v>
      </c>
      <c r="AO283" s="3"/>
      <c r="AT283" t="b">
        <v>0</v>
      </c>
      <c r="AU283" t="s">
        <v>74</v>
      </c>
      <c r="AV283" t="b">
        <v>1</v>
      </c>
      <c r="AW283" t="b">
        <v>0</v>
      </c>
      <c r="AX283" s="5">
        <v>0</v>
      </c>
      <c r="AY283" s="3"/>
      <c r="AZ283" t="s">
        <v>67</v>
      </c>
      <c r="BA283" t="s">
        <v>67</v>
      </c>
      <c r="BB283" t="s">
        <v>317</v>
      </c>
    </row>
    <row r="284" spans="1:54" x14ac:dyDescent="0.3">
      <c r="A284">
        <v>1</v>
      </c>
      <c r="B284">
        <v>15</v>
      </c>
      <c r="C284" t="s">
        <v>54</v>
      </c>
      <c r="D284" s="3">
        <v>45343.734652777777</v>
      </c>
      <c r="E284" s="8">
        <v>45904</v>
      </c>
      <c r="F284" t="s">
        <v>1338</v>
      </c>
      <c r="G284" t="s">
        <v>56</v>
      </c>
      <c r="H284" t="s">
        <v>1339</v>
      </c>
      <c r="I284" t="s">
        <v>1340</v>
      </c>
      <c r="J284" t="s">
        <v>336</v>
      </c>
      <c r="K284" t="s">
        <v>1341</v>
      </c>
      <c r="L284" t="s">
        <v>338</v>
      </c>
      <c r="M284" t="s">
        <v>97</v>
      </c>
      <c r="N284" t="s">
        <v>97</v>
      </c>
      <c r="O284" t="s">
        <v>922</v>
      </c>
      <c r="P284" t="s">
        <v>923</v>
      </c>
      <c r="Q284" s="5">
        <v>1</v>
      </c>
      <c r="R284" s="6">
        <v>934</v>
      </c>
      <c r="S284" s="6">
        <v>934</v>
      </c>
      <c r="T284" s="6">
        <v>605</v>
      </c>
      <c r="U284" s="3">
        <v>45397.458333333343</v>
      </c>
      <c r="W284" t="s">
        <v>1342</v>
      </c>
      <c r="X284" t="s">
        <v>70</v>
      </c>
      <c r="Y284" t="s">
        <v>23</v>
      </c>
      <c r="Z284" t="s">
        <v>69</v>
      </c>
      <c r="AA284" t="s">
        <v>69</v>
      </c>
      <c r="AB284" t="s">
        <v>70</v>
      </c>
      <c r="AC284" t="s">
        <v>70</v>
      </c>
      <c r="AD284" t="s">
        <v>101</v>
      </c>
      <c r="AF284" t="s">
        <v>67</v>
      </c>
      <c r="AH284" t="b">
        <v>0</v>
      </c>
      <c r="AI284" t="b">
        <v>0</v>
      </c>
      <c r="AJ284" t="b">
        <v>0</v>
      </c>
      <c r="AK284" t="b">
        <v>0</v>
      </c>
      <c r="AL284" s="6">
        <v>605</v>
      </c>
      <c r="AM284" s="3">
        <v>45397.458333333343</v>
      </c>
      <c r="AN284">
        <v>1</v>
      </c>
      <c r="AO284" s="3"/>
      <c r="AT284" t="b">
        <v>0</v>
      </c>
      <c r="AU284" t="s">
        <v>74</v>
      </c>
      <c r="AV284" t="b">
        <v>1</v>
      </c>
      <c r="AW284" t="b">
        <v>0</v>
      </c>
      <c r="AX284" s="5">
        <v>0</v>
      </c>
      <c r="AY284" s="3"/>
      <c r="AZ284" t="s">
        <v>67</v>
      </c>
      <c r="BA284" t="s">
        <v>67</v>
      </c>
      <c r="BB284" t="s">
        <v>317</v>
      </c>
    </row>
    <row r="285" spans="1:54" x14ac:dyDescent="0.3">
      <c r="A285">
        <v>1</v>
      </c>
      <c r="B285">
        <v>15</v>
      </c>
      <c r="C285" t="s">
        <v>54</v>
      </c>
      <c r="D285" s="3">
        <v>45343.734652777777</v>
      </c>
      <c r="E285" s="8">
        <v>45904</v>
      </c>
      <c r="F285" t="s">
        <v>1338</v>
      </c>
      <c r="G285" t="s">
        <v>56</v>
      </c>
      <c r="H285" t="s">
        <v>1339</v>
      </c>
      <c r="I285" t="s">
        <v>1340</v>
      </c>
      <c r="J285" t="s">
        <v>336</v>
      </c>
      <c r="K285" t="s">
        <v>1341</v>
      </c>
      <c r="L285" t="s">
        <v>338</v>
      </c>
      <c r="M285" t="s">
        <v>97</v>
      </c>
      <c r="N285" t="s">
        <v>97</v>
      </c>
      <c r="O285" t="s">
        <v>933</v>
      </c>
      <c r="P285" t="s">
        <v>934</v>
      </c>
      <c r="Q285" s="5">
        <v>1</v>
      </c>
      <c r="R285" s="6">
        <v>247.3</v>
      </c>
      <c r="S285" s="6">
        <v>247.3</v>
      </c>
      <c r="T285" s="6">
        <v>117.76</v>
      </c>
      <c r="U285" s="3">
        <v>45397.458333333343</v>
      </c>
      <c r="W285" t="s">
        <v>1342</v>
      </c>
      <c r="X285" t="s">
        <v>70</v>
      </c>
      <c r="Y285" t="s">
        <v>68</v>
      </c>
      <c r="Z285" t="s">
        <v>69</v>
      </c>
      <c r="AA285" t="s">
        <v>69</v>
      </c>
      <c r="AB285" t="s">
        <v>70</v>
      </c>
      <c r="AC285" t="s">
        <v>70</v>
      </c>
      <c r="AD285" t="s">
        <v>101</v>
      </c>
      <c r="AE285" t="s">
        <v>220</v>
      </c>
      <c r="AF285" t="s">
        <v>67</v>
      </c>
      <c r="AG285" t="s">
        <v>935</v>
      </c>
      <c r="AH285" t="b">
        <v>0</v>
      </c>
      <c r="AI285" t="b">
        <v>0</v>
      </c>
      <c r="AJ285" t="b">
        <v>0</v>
      </c>
      <c r="AK285" t="b">
        <v>0</v>
      </c>
      <c r="AL285" s="6">
        <v>117.76</v>
      </c>
      <c r="AM285" s="3">
        <v>45397.458333333343</v>
      </c>
      <c r="AN285">
        <v>1</v>
      </c>
      <c r="AO285" s="3"/>
      <c r="AT285" t="b">
        <v>0</v>
      </c>
      <c r="AU285" t="s">
        <v>74</v>
      </c>
      <c r="AV285" t="b">
        <v>1</v>
      </c>
      <c r="AW285" t="b">
        <v>0</v>
      </c>
      <c r="AX285" s="5">
        <v>0</v>
      </c>
      <c r="AY285" s="3"/>
      <c r="AZ285" t="s">
        <v>67</v>
      </c>
      <c r="BA285" t="s">
        <v>67</v>
      </c>
      <c r="BB285" t="s">
        <v>317</v>
      </c>
    </row>
    <row r="286" spans="1:54" x14ac:dyDescent="0.3">
      <c r="A286">
        <v>1</v>
      </c>
      <c r="B286">
        <v>15</v>
      </c>
      <c r="C286" t="s">
        <v>54</v>
      </c>
      <c r="D286" s="3">
        <v>45343.734652777777</v>
      </c>
      <c r="E286" s="8">
        <v>45904</v>
      </c>
      <c r="F286" t="s">
        <v>1338</v>
      </c>
      <c r="G286" t="s">
        <v>56</v>
      </c>
      <c r="H286" t="s">
        <v>1339</v>
      </c>
      <c r="I286" t="s">
        <v>1340</v>
      </c>
      <c r="J286" t="s">
        <v>336</v>
      </c>
      <c r="K286" t="s">
        <v>1341</v>
      </c>
      <c r="L286" t="s">
        <v>338</v>
      </c>
      <c r="M286" t="s">
        <v>97</v>
      </c>
      <c r="N286" t="s">
        <v>97</v>
      </c>
      <c r="O286" t="s">
        <v>936</v>
      </c>
      <c r="P286" t="s">
        <v>937</v>
      </c>
      <c r="Q286" s="5">
        <v>4</v>
      </c>
      <c r="R286" s="6">
        <v>54.1</v>
      </c>
      <c r="S286" s="6">
        <v>216.4</v>
      </c>
      <c r="T286" s="6">
        <v>103.04</v>
      </c>
      <c r="U286" s="3">
        <v>45397.458333333343</v>
      </c>
      <c r="W286" t="s">
        <v>1342</v>
      </c>
      <c r="X286" t="s">
        <v>70</v>
      </c>
      <c r="Y286" t="s">
        <v>68</v>
      </c>
      <c r="Z286" t="s">
        <v>69</v>
      </c>
      <c r="AA286" t="s">
        <v>69</v>
      </c>
      <c r="AB286" t="s">
        <v>70</v>
      </c>
      <c r="AC286" t="s">
        <v>70</v>
      </c>
      <c r="AD286" t="s">
        <v>101</v>
      </c>
      <c r="AE286" t="s">
        <v>220</v>
      </c>
      <c r="AF286" t="s">
        <v>67</v>
      </c>
      <c r="AG286" t="s">
        <v>938</v>
      </c>
      <c r="AH286" t="b">
        <v>0</v>
      </c>
      <c r="AI286" t="b">
        <v>0</v>
      </c>
      <c r="AJ286" t="b">
        <v>0</v>
      </c>
      <c r="AK286" t="b">
        <v>0</v>
      </c>
      <c r="AL286" s="6">
        <v>25.76</v>
      </c>
      <c r="AM286" s="3">
        <v>45397.458333333343</v>
      </c>
      <c r="AN286">
        <v>1</v>
      </c>
      <c r="AO286" s="3"/>
      <c r="AT286" t="b">
        <v>0</v>
      </c>
      <c r="AU286" t="s">
        <v>74</v>
      </c>
      <c r="AV286" t="b">
        <v>1</v>
      </c>
      <c r="AW286" t="b">
        <v>0</v>
      </c>
      <c r="AX286" s="5">
        <v>0</v>
      </c>
      <c r="AY286" s="3"/>
      <c r="AZ286" t="s">
        <v>67</v>
      </c>
      <c r="BA286" t="s">
        <v>67</v>
      </c>
      <c r="BB286" t="s">
        <v>317</v>
      </c>
    </row>
    <row r="287" spans="1:54" x14ac:dyDescent="0.3">
      <c r="A287">
        <v>1</v>
      </c>
      <c r="B287">
        <v>15</v>
      </c>
      <c r="C287" t="s">
        <v>54</v>
      </c>
      <c r="D287" s="3">
        <v>45343.734652777777</v>
      </c>
      <c r="E287" s="8">
        <v>45904</v>
      </c>
      <c r="F287" t="s">
        <v>1338</v>
      </c>
      <c r="G287" t="s">
        <v>56</v>
      </c>
      <c r="H287" t="s">
        <v>1339</v>
      </c>
      <c r="I287" t="s">
        <v>1340</v>
      </c>
      <c r="J287" t="s">
        <v>336</v>
      </c>
      <c r="K287" t="s">
        <v>1341</v>
      </c>
      <c r="L287" t="s">
        <v>338</v>
      </c>
      <c r="M287" t="s">
        <v>97</v>
      </c>
      <c r="N287" t="s">
        <v>97</v>
      </c>
      <c r="O287" t="s">
        <v>939</v>
      </c>
      <c r="P287" t="s">
        <v>940</v>
      </c>
      <c r="Q287" s="5">
        <v>4</v>
      </c>
      <c r="R287" s="6">
        <v>42.5</v>
      </c>
      <c r="S287" s="6">
        <v>170</v>
      </c>
      <c r="T287" s="6">
        <v>80.959999999999994</v>
      </c>
      <c r="U287" s="3">
        <v>45397.458333333343</v>
      </c>
      <c r="W287" t="s">
        <v>1342</v>
      </c>
      <c r="X287" t="s">
        <v>70</v>
      </c>
      <c r="Y287" t="s">
        <v>68</v>
      </c>
      <c r="Z287" t="s">
        <v>69</v>
      </c>
      <c r="AA287" t="s">
        <v>69</v>
      </c>
      <c r="AB287" t="s">
        <v>70</v>
      </c>
      <c r="AC287" t="s">
        <v>70</v>
      </c>
      <c r="AD287" t="s">
        <v>101</v>
      </c>
      <c r="AE287" t="s">
        <v>220</v>
      </c>
      <c r="AF287" t="s">
        <v>67</v>
      </c>
      <c r="AG287" t="s">
        <v>941</v>
      </c>
      <c r="AH287" t="b">
        <v>0</v>
      </c>
      <c r="AI287" t="b">
        <v>0</v>
      </c>
      <c r="AJ287" t="b">
        <v>0</v>
      </c>
      <c r="AK287" t="b">
        <v>0</v>
      </c>
      <c r="AL287" s="6">
        <v>20.239999999999998</v>
      </c>
      <c r="AM287" s="3">
        <v>45397.458333333343</v>
      </c>
      <c r="AN287">
        <v>1</v>
      </c>
      <c r="AO287" s="3"/>
      <c r="AT287" t="b">
        <v>0</v>
      </c>
      <c r="AU287" t="s">
        <v>74</v>
      </c>
      <c r="AV287" t="b">
        <v>1</v>
      </c>
      <c r="AW287" t="b">
        <v>0</v>
      </c>
      <c r="AX287" s="5">
        <v>0</v>
      </c>
      <c r="AY287" s="3"/>
      <c r="AZ287" t="s">
        <v>67</v>
      </c>
      <c r="BA287" t="s">
        <v>67</v>
      </c>
      <c r="BB287" t="s">
        <v>317</v>
      </c>
    </row>
    <row r="288" spans="1:54" x14ac:dyDescent="0.3">
      <c r="A288">
        <v>1</v>
      </c>
      <c r="B288">
        <v>15</v>
      </c>
      <c r="C288" t="s">
        <v>54</v>
      </c>
      <c r="D288" s="3">
        <v>45343.734652777777</v>
      </c>
      <c r="E288" s="8">
        <v>45904</v>
      </c>
      <c r="F288" t="s">
        <v>1338</v>
      </c>
      <c r="G288" t="s">
        <v>56</v>
      </c>
      <c r="H288" t="s">
        <v>1339</v>
      </c>
      <c r="I288" t="s">
        <v>1340</v>
      </c>
      <c r="J288" t="s">
        <v>336</v>
      </c>
      <c r="K288" t="s">
        <v>1341</v>
      </c>
      <c r="L288" t="s">
        <v>338</v>
      </c>
      <c r="M288" t="s">
        <v>97</v>
      </c>
      <c r="N288" t="s">
        <v>97</v>
      </c>
      <c r="O288" t="s">
        <v>942</v>
      </c>
      <c r="P288" t="s">
        <v>943</v>
      </c>
      <c r="Q288" s="5">
        <v>4</v>
      </c>
      <c r="R288" s="6">
        <v>114</v>
      </c>
      <c r="S288" s="6">
        <v>456</v>
      </c>
      <c r="T288" s="6">
        <v>217.12</v>
      </c>
      <c r="U288" s="3">
        <v>45397.458333333343</v>
      </c>
      <c r="W288" t="s">
        <v>1342</v>
      </c>
      <c r="X288" t="s">
        <v>70</v>
      </c>
      <c r="Y288" t="s">
        <v>68</v>
      </c>
      <c r="Z288" t="s">
        <v>69</v>
      </c>
      <c r="AA288" t="s">
        <v>69</v>
      </c>
      <c r="AB288" t="s">
        <v>70</v>
      </c>
      <c r="AC288" t="s">
        <v>70</v>
      </c>
      <c r="AD288" t="s">
        <v>101</v>
      </c>
      <c r="AE288" t="s">
        <v>220</v>
      </c>
      <c r="AF288" t="s">
        <v>67</v>
      </c>
      <c r="AG288" t="s">
        <v>944</v>
      </c>
      <c r="AH288" t="b">
        <v>0</v>
      </c>
      <c r="AI288" t="b">
        <v>0</v>
      </c>
      <c r="AJ288" t="b">
        <v>0</v>
      </c>
      <c r="AK288" t="b">
        <v>0</v>
      </c>
      <c r="AL288" s="6">
        <v>54.28</v>
      </c>
      <c r="AM288" s="3">
        <v>45397.458333333343</v>
      </c>
      <c r="AN288">
        <v>1</v>
      </c>
      <c r="AO288" s="3"/>
      <c r="AT288" t="b">
        <v>0</v>
      </c>
      <c r="AU288" t="s">
        <v>74</v>
      </c>
      <c r="AV288" t="b">
        <v>1</v>
      </c>
      <c r="AW288" t="b">
        <v>0</v>
      </c>
      <c r="AX288" s="5">
        <v>0</v>
      </c>
      <c r="AY288" s="3"/>
      <c r="AZ288" t="s">
        <v>67</v>
      </c>
      <c r="BA288" t="s">
        <v>67</v>
      </c>
      <c r="BB288" t="s">
        <v>317</v>
      </c>
    </row>
    <row r="289" spans="1:54" x14ac:dyDescent="0.3">
      <c r="A289">
        <v>1</v>
      </c>
      <c r="B289">
        <v>15</v>
      </c>
      <c r="C289" t="s">
        <v>54</v>
      </c>
      <c r="D289" s="3">
        <v>45343.734652777777</v>
      </c>
      <c r="E289" s="8">
        <v>45904</v>
      </c>
      <c r="F289" t="s">
        <v>1338</v>
      </c>
      <c r="G289" t="s">
        <v>56</v>
      </c>
      <c r="H289" t="s">
        <v>1339</v>
      </c>
      <c r="I289" t="s">
        <v>1340</v>
      </c>
      <c r="J289" t="s">
        <v>336</v>
      </c>
      <c r="K289" t="s">
        <v>1341</v>
      </c>
      <c r="L289" t="s">
        <v>338</v>
      </c>
      <c r="M289" t="s">
        <v>97</v>
      </c>
      <c r="N289" t="s">
        <v>97</v>
      </c>
      <c r="O289" t="s">
        <v>295</v>
      </c>
      <c r="P289" t="s">
        <v>296</v>
      </c>
      <c r="Q289" s="5">
        <v>4</v>
      </c>
      <c r="R289" s="6">
        <v>46.4</v>
      </c>
      <c r="S289" s="6">
        <v>185.6</v>
      </c>
      <c r="T289" s="6">
        <v>88.32</v>
      </c>
      <c r="U289" s="3">
        <v>45397.458333333343</v>
      </c>
      <c r="W289" t="s">
        <v>1342</v>
      </c>
      <c r="X289" t="s">
        <v>70</v>
      </c>
      <c r="Y289" t="s">
        <v>68</v>
      </c>
      <c r="Z289" t="s">
        <v>69</v>
      </c>
      <c r="AA289" t="s">
        <v>69</v>
      </c>
      <c r="AB289" t="s">
        <v>70</v>
      </c>
      <c r="AC289" t="s">
        <v>70</v>
      </c>
      <c r="AD289" t="s">
        <v>101</v>
      </c>
      <c r="AE289" t="s">
        <v>220</v>
      </c>
      <c r="AF289" t="s">
        <v>67</v>
      </c>
      <c r="AG289" t="s">
        <v>297</v>
      </c>
      <c r="AH289" t="b">
        <v>0</v>
      </c>
      <c r="AI289" t="b">
        <v>0</v>
      </c>
      <c r="AJ289" t="b">
        <v>0</v>
      </c>
      <c r="AK289" t="b">
        <v>0</v>
      </c>
      <c r="AL289" s="6">
        <v>22.08</v>
      </c>
      <c r="AM289" s="3">
        <v>45397.458333333343</v>
      </c>
      <c r="AN289">
        <v>1</v>
      </c>
      <c r="AO289" s="3"/>
      <c r="AT289" t="b">
        <v>0</v>
      </c>
      <c r="AU289" t="s">
        <v>74</v>
      </c>
      <c r="AV289" t="b">
        <v>1</v>
      </c>
      <c r="AW289" t="b">
        <v>0</v>
      </c>
      <c r="AX289" s="5">
        <v>0</v>
      </c>
      <c r="AY289" s="3"/>
      <c r="AZ289" t="s">
        <v>67</v>
      </c>
      <c r="BA289" t="s">
        <v>67</v>
      </c>
      <c r="BB289" t="s">
        <v>317</v>
      </c>
    </row>
    <row r="290" spans="1:54" x14ac:dyDescent="0.3">
      <c r="A290">
        <v>1</v>
      </c>
      <c r="B290">
        <v>15</v>
      </c>
      <c r="C290" t="s">
        <v>54</v>
      </c>
      <c r="D290" s="3">
        <v>45353.411261574067</v>
      </c>
      <c r="E290" s="8">
        <v>45353</v>
      </c>
      <c r="F290" t="s">
        <v>1343</v>
      </c>
      <c r="G290" t="s">
        <v>56</v>
      </c>
      <c r="H290" t="s">
        <v>464</v>
      </c>
      <c r="I290" t="s">
        <v>465</v>
      </c>
      <c r="J290" t="s">
        <v>310</v>
      </c>
      <c r="K290" t="s">
        <v>466</v>
      </c>
      <c r="L290" t="s">
        <v>384</v>
      </c>
      <c r="M290" t="s">
        <v>312</v>
      </c>
      <c r="N290" t="s">
        <v>312</v>
      </c>
      <c r="O290" t="s">
        <v>313</v>
      </c>
      <c r="P290" t="s">
        <v>314</v>
      </c>
      <c r="Q290" s="5">
        <v>1</v>
      </c>
      <c r="R290" s="6">
        <v>100</v>
      </c>
      <c r="S290" s="6">
        <v>100</v>
      </c>
      <c r="T290" s="6">
        <v>0</v>
      </c>
      <c r="U290" s="3">
        <v>45807.458333333343</v>
      </c>
      <c r="W290" t="s">
        <v>467</v>
      </c>
      <c r="X290" t="s">
        <v>70</v>
      </c>
      <c r="Y290" t="s">
        <v>23</v>
      </c>
      <c r="Z290" t="s">
        <v>69</v>
      </c>
      <c r="AA290" t="s">
        <v>69</v>
      </c>
      <c r="AB290" t="s">
        <v>70</v>
      </c>
      <c r="AC290" t="s">
        <v>70</v>
      </c>
      <c r="AD290" t="s">
        <v>316</v>
      </c>
      <c r="AE290" t="s">
        <v>102</v>
      </c>
      <c r="AF290" t="s">
        <v>67</v>
      </c>
      <c r="AH290" t="b">
        <v>1</v>
      </c>
      <c r="AI290" t="b">
        <v>1</v>
      </c>
      <c r="AJ290" t="b">
        <v>0</v>
      </c>
      <c r="AK290" t="b">
        <v>1</v>
      </c>
      <c r="AL290" s="6">
        <v>0</v>
      </c>
      <c r="AM290" s="3">
        <v>45632.208333333343</v>
      </c>
      <c r="AN290">
        <v>1</v>
      </c>
      <c r="AO290" s="3"/>
      <c r="AT290" t="b">
        <v>0</v>
      </c>
      <c r="AU290" t="s">
        <v>74</v>
      </c>
      <c r="AV290" t="b">
        <v>1</v>
      </c>
      <c r="AW290" t="b">
        <v>0</v>
      </c>
      <c r="AX290" s="5">
        <v>0</v>
      </c>
      <c r="AY290" s="3"/>
      <c r="AZ290" t="s">
        <v>67</v>
      </c>
      <c r="BA290" t="s">
        <v>67</v>
      </c>
      <c r="BB290" t="s">
        <v>317</v>
      </c>
    </row>
    <row r="291" spans="1:54" x14ac:dyDescent="0.3">
      <c r="A291">
        <v>1</v>
      </c>
      <c r="B291">
        <v>15</v>
      </c>
      <c r="C291" t="s">
        <v>54</v>
      </c>
      <c r="D291" s="3">
        <v>45353.415000000001</v>
      </c>
      <c r="E291" s="8">
        <v>45390</v>
      </c>
      <c r="F291" t="s">
        <v>1344</v>
      </c>
      <c r="G291" t="s">
        <v>56</v>
      </c>
      <c r="H291" t="s">
        <v>1345</v>
      </c>
      <c r="I291" t="s">
        <v>1346</v>
      </c>
      <c r="J291" t="s">
        <v>310</v>
      </c>
      <c r="K291" t="s">
        <v>475</v>
      </c>
      <c r="L291" t="s">
        <v>398</v>
      </c>
      <c r="M291" t="s">
        <v>312</v>
      </c>
      <c r="O291" t="s">
        <v>313</v>
      </c>
      <c r="P291" t="s">
        <v>314</v>
      </c>
      <c r="Q291" s="5">
        <v>2</v>
      </c>
      <c r="R291" s="6">
        <v>100</v>
      </c>
      <c r="S291" s="6">
        <v>200</v>
      </c>
      <c r="T291" s="6">
        <v>0</v>
      </c>
      <c r="U291" s="3">
        <v>45534.479166666657</v>
      </c>
      <c r="W291" t="s">
        <v>1347</v>
      </c>
      <c r="X291" t="s">
        <v>70</v>
      </c>
      <c r="Y291" t="s">
        <v>23</v>
      </c>
      <c r="Z291" t="s">
        <v>69</v>
      </c>
      <c r="AA291" t="s">
        <v>69</v>
      </c>
      <c r="AB291" t="s">
        <v>70</v>
      </c>
      <c r="AC291" t="s">
        <v>70</v>
      </c>
      <c r="AD291" t="s">
        <v>316</v>
      </c>
      <c r="AE291" t="s">
        <v>102</v>
      </c>
      <c r="AF291" t="s">
        <v>67</v>
      </c>
      <c r="AH291" t="b">
        <v>0</v>
      </c>
      <c r="AI291" t="b">
        <v>1</v>
      </c>
      <c r="AJ291" t="b">
        <v>0</v>
      </c>
      <c r="AK291" t="b">
        <v>1</v>
      </c>
      <c r="AL291" s="6">
        <v>0</v>
      </c>
      <c r="AM291" s="3">
        <v>45534.479166666657</v>
      </c>
      <c r="AN291">
        <v>1</v>
      </c>
      <c r="AO291" s="3"/>
      <c r="AT291" t="b">
        <v>0</v>
      </c>
      <c r="AU291" t="s">
        <v>74</v>
      </c>
      <c r="AV291" t="b">
        <v>1</v>
      </c>
      <c r="AW291" t="b">
        <v>0</v>
      </c>
      <c r="AX291" s="5">
        <v>0</v>
      </c>
      <c r="AY291" s="3"/>
      <c r="AZ291" t="s">
        <v>67</v>
      </c>
      <c r="BA291" t="s">
        <v>67</v>
      </c>
      <c r="BB291" t="s">
        <v>317</v>
      </c>
    </row>
    <row r="292" spans="1:54" x14ac:dyDescent="0.3">
      <c r="A292">
        <v>1</v>
      </c>
      <c r="B292">
        <v>15</v>
      </c>
      <c r="C292" t="s">
        <v>54</v>
      </c>
      <c r="D292" s="3">
        <v>45353.432245370372</v>
      </c>
      <c r="E292" s="8">
        <v>45353</v>
      </c>
      <c r="F292" t="s">
        <v>1348</v>
      </c>
      <c r="G292" t="s">
        <v>56</v>
      </c>
      <c r="H292" t="s">
        <v>1349</v>
      </c>
      <c r="I292" t="s">
        <v>1350</v>
      </c>
      <c r="J292" t="s">
        <v>310</v>
      </c>
      <c r="L292" t="s">
        <v>384</v>
      </c>
      <c r="M292" t="s">
        <v>312</v>
      </c>
      <c r="N292" t="s">
        <v>312</v>
      </c>
      <c r="O292" t="s">
        <v>313</v>
      </c>
      <c r="P292" t="s">
        <v>314</v>
      </c>
      <c r="Q292" s="5">
        <v>1</v>
      </c>
      <c r="R292" s="6">
        <v>100</v>
      </c>
      <c r="S292" s="6">
        <v>100</v>
      </c>
      <c r="T292" s="6">
        <v>0</v>
      </c>
      <c r="U292" s="3">
        <v>45881.291666666657</v>
      </c>
      <c r="W292" t="s">
        <v>1351</v>
      </c>
      <c r="X292" t="s">
        <v>70</v>
      </c>
      <c r="Y292" t="s">
        <v>23</v>
      </c>
      <c r="Z292" t="s">
        <v>69</v>
      </c>
      <c r="AA292" t="s">
        <v>69</v>
      </c>
      <c r="AB292" t="s">
        <v>70</v>
      </c>
      <c r="AC292" t="s">
        <v>70</v>
      </c>
      <c r="AD292" t="s">
        <v>316</v>
      </c>
      <c r="AE292" t="s">
        <v>102</v>
      </c>
      <c r="AF292" t="s">
        <v>67</v>
      </c>
      <c r="AH292" t="b">
        <v>1</v>
      </c>
      <c r="AI292" t="b">
        <v>1</v>
      </c>
      <c r="AJ292" t="b">
        <v>0</v>
      </c>
      <c r="AK292" t="b">
        <v>1</v>
      </c>
      <c r="AL292" s="6">
        <v>0</v>
      </c>
      <c r="AM292" s="3">
        <v>45451.25</v>
      </c>
      <c r="AN292">
        <v>1</v>
      </c>
      <c r="AO292" s="3"/>
      <c r="AT292" t="b">
        <v>0</v>
      </c>
      <c r="AU292" t="s">
        <v>74</v>
      </c>
      <c r="AV292" t="b">
        <v>1</v>
      </c>
      <c r="AW292" t="b">
        <v>0</v>
      </c>
      <c r="AX292" s="5">
        <v>0</v>
      </c>
      <c r="AY292" s="3"/>
      <c r="AZ292" t="s">
        <v>67</v>
      </c>
      <c r="BA292" t="s">
        <v>67</v>
      </c>
      <c r="BB292" t="s">
        <v>317</v>
      </c>
    </row>
    <row r="293" spans="1:54" x14ac:dyDescent="0.3">
      <c r="A293">
        <v>1</v>
      </c>
      <c r="B293">
        <v>15</v>
      </c>
      <c r="C293" t="s">
        <v>54</v>
      </c>
      <c r="D293" s="3">
        <v>45353.440104166657</v>
      </c>
      <c r="E293" s="8">
        <v>45387</v>
      </c>
      <c r="F293" t="s">
        <v>1352</v>
      </c>
      <c r="G293" t="s">
        <v>56</v>
      </c>
      <c r="H293" t="s">
        <v>1353</v>
      </c>
      <c r="I293" t="s">
        <v>1354</v>
      </c>
      <c r="J293" t="s">
        <v>310</v>
      </c>
      <c r="K293" t="s">
        <v>466</v>
      </c>
      <c r="L293" t="s">
        <v>384</v>
      </c>
      <c r="M293" t="s">
        <v>312</v>
      </c>
      <c r="N293" t="s">
        <v>312</v>
      </c>
      <c r="O293" t="s">
        <v>313</v>
      </c>
      <c r="P293" t="s">
        <v>314</v>
      </c>
      <c r="Q293" s="5">
        <v>1</v>
      </c>
      <c r="R293" s="6">
        <v>100</v>
      </c>
      <c r="S293" s="6">
        <v>100</v>
      </c>
      <c r="T293" s="6">
        <v>0</v>
      </c>
      <c r="U293" s="3">
        <v>45806.541666666657</v>
      </c>
      <c r="W293" t="s">
        <v>1355</v>
      </c>
      <c r="X293" t="s">
        <v>70</v>
      </c>
      <c r="Y293" t="s">
        <v>23</v>
      </c>
      <c r="Z293" t="s">
        <v>69</v>
      </c>
      <c r="AA293" t="s">
        <v>69</v>
      </c>
      <c r="AB293" t="s">
        <v>70</v>
      </c>
      <c r="AC293" t="s">
        <v>70</v>
      </c>
      <c r="AD293" t="s">
        <v>316</v>
      </c>
      <c r="AE293" t="s">
        <v>102</v>
      </c>
      <c r="AF293" t="s">
        <v>67</v>
      </c>
      <c r="AH293" t="b">
        <v>0</v>
      </c>
      <c r="AI293" t="b">
        <v>0</v>
      </c>
      <c r="AJ293" t="b">
        <v>0</v>
      </c>
      <c r="AK293" t="b">
        <v>1</v>
      </c>
      <c r="AL293" s="6">
        <v>0</v>
      </c>
      <c r="AM293" s="3">
        <v>45478.21875</v>
      </c>
      <c r="AN293">
        <v>1</v>
      </c>
      <c r="AO293" s="3"/>
      <c r="AT293" t="b">
        <v>0</v>
      </c>
      <c r="AU293" t="s">
        <v>74</v>
      </c>
      <c r="AV293" t="b">
        <v>1</v>
      </c>
      <c r="AW293" t="b">
        <v>0</v>
      </c>
      <c r="AX293" s="5">
        <v>0</v>
      </c>
      <c r="AY293" s="3"/>
      <c r="AZ293" t="s">
        <v>67</v>
      </c>
      <c r="BA293" t="s">
        <v>67</v>
      </c>
      <c r="BB293" t="s">
        <v>317</v>
      </c>
    </row>
    <row r="294" spans="1:54" x14ac:dyDescent="0.3">
      <c r="A294">
        <v>1</v>
      </c>
      <c r="B294">
        <v>15</v>
      </c>
      <c r="C294" t="s">
        <v>54</v>
      </c>
      <c r="D294" s="3">
        <v>45353.479317129633</v>
      </c>
      <c r="E294" s="8">
        <v>45353</v>
      </c>
      <c r="F294" t="s">
        <v>1356</v>
      </c>
      <c r="G294" t="s">
        <v>56</v>
      </c>
      <c r="H294" t="s">
        <v>1357</v>
      </c>
      <c r="I294" t="s">
        <v>1358</v>
      </c>
      <c r="J294" t="s">
        <v>310</v>
      </c>
      <c r="K294" t="s">
        <v>393</v>
      </c>
      <c r="L294" t="s">
        <v>384</v>
      </c>
      <c r="M294" t="s">
        <v>312</v>
      </c>
      <c r="N294" t="s">
        <v>312</v>
      </c>
      <c r="O294" t="s">
        <v>313</v>
      </c>
      <c r="P294" t="s">
        <v>314</v>
      </c>
      <c r="Q294" s="5">
        <v>2</v>
      </c>
      <c r="R294" s="6">
        <v>100</v>
      </c>
      <c r="S294" s="6">
        <v>200</v>
      </c>
      <c r="T294" s="6">
        <v>0</v>
      </c>
      <c r="U294" s="3">
        <v>45570.284722222219</v>
      </c>
      <c r="W294" t="s">
        <v>1359</v>
      </c>
      <c r="X294" t="s">
        <v>70</v>
      </c>
      <c r="Y294" t="s">
        <v>23</v>
      </c>
      <c r="Z294" t="s">
        <v>69</v>
      </c>
      <c r="AA294" t="s">
        <v>69</v>
      </c>
      <c r="AB294" t="s">
        <v>70</v>
      </c>
      <c r="AC294" t="s">
        <v>70</v>
      </c>
      <c r="AD294" t="s">
        <v>316</v>
      </c>
      <c r="AE294" t="s">
        <v>102</v>
      </c>
      <c r="AF294" t="s">
        <v>67</v>
      </c>
      <c r="AH294" t="b">
        <v>1</v>
      </c>
      <c r="AI294" t="b">
        <v>1</v>
      </c>
      <c r="AJ294" t="b">
        <v>0</v>
      </c>
      <c r="AK294" t="b">
        <v>1</v>
      </c>
      <c r="AL294" s="6">
        <v>0</v>
      </c>
      <c r="AM294" s="3">
        <v>45570.284722222219</v>
      </c>
      <c r="AN294">
        <v>1</v>
      </c>
      <c r="AO294" s="3"/>
      <c r="AT294" t="b">
        <v>0</v>
      </c>
      <c r="AU294" t="s">
        <v>74</v>
      </c>
      <c r="AV294" t="b">
        <v>1</v>
      </c>
      <c r="AW294" t="b">
        <v>0</v>
      </c>
      <c r="AX294" s="5">
        <v>0</v>
      </c>
      <c r="AY294" s="3"/>
      <c r="AZ294" t="s">
        <v>67</v>
      </c>
      <c r="BA294" t="s">
        <v>67</v>
      </c>
      <c r="BB294" t="s">
        <v>317</v>
      </c>
    </row>
    <row r="295" spans="1:54" x14ac:dyDescent="0.3">
      <c r="A295">
        <v>1</v>
      </c>
      <c r="B295">
        <v>15</v>
      </c>
      <c r="C295" t="s">
        <v>54</v>
      </c>
      <c r="D295" s="3">
        <v>45353.483831018522</v>
      </c>
      <c r="E295" s="8">
        <v>45390</v>
      </c>
      <c r="F295" t="s">
        <v>1360</v>
      </c>
      <c r="G295" t="s">
        <v>56</v>
      </c>
      <c r="H295" t="s">
        <v>892</v>
      </c>
      <c r="I295" t="s">
        <v>893</v>
      </c>
      <c r="J295" t="s">
        <v>310</v>
      </c>
      <c r="K295" t="s">
        <v>709</v>
      </c>
      <c r="L295" t="s">
        <v>384</v>
      </c>
      <c r="M295" t="s">
        <v>312</v>
      </c>
      <c r="O295" t="s">
        <v>313</v>
      </c>
      <c r="P295" t="s">
        <v>314</v>
      </c>
      <c r="Q295" s="5">
        <v>1</v>
      </c>
      <c r="R295" s="6">
        <v>100</v>
      </c>
      <c r="S295" s="6">
        <v>100</v>
      </c>
      <c r="T295" s="6">
        <v>0</v>
      </c>
      <c r="U295" s="3">
        <v>45856.458333333343</v>
      </c>
      <c r="W295" t="s">
        <v>894</v>
      </c>
      <c r="X295" t="s">
        <v>70</v>
      </c>
      <c r="Y295" t="s">
        <v>23</v>
      </c>
      <c r="Z295" t="s">
        <v>69</v>
      </c>
      <c r="AA295" t="s">
        <v>69</v>
      </c>
      <c r="AB295" t="s">
        <v>67</v>
      </c>
      <c r="AC295" t="s">
        <v>70</v>
      </c>
      <c r="AD295" t="s">
        <v>316</v>
      </c>
      <c r="AE295" t="s">
        <v>102</v>
      </c>
      <c r="AF295" t="s">
        <v>67</v>
      </c>
      <c r="AH295" t="b">
        <v>1</v>
      </c>
      <c r="AI295" t="b">
        <v>1</v>
      </c>
      <c r="AJ295" t="b">
        <v>0</v>
      </c>
      <c r="AK295" t="b">
        <v>1</v>
      </c>
      <c r="AL295" s="6">
        <v>0</v>
      </c>
      <c r="AM295" s="3">
        <v>45479.25</v>
      </c>
      <c r="AN295">
        <v>1</v>
      </c>
      <c r="AO295" s="3"/>
      <c r="AT295" t="b">
        <v>0</v>
      </c>
      <c r="AU295" t="s">
        <v>74</v>
      </c>
      <c r="AV295" t="b">
        <v>1</v>
      </c>
      <c r="AW295" t="b">
        <v>0</v>
      </c>
      <c r="AX295" s="5">
        <v>0</v>
      </c>
      <c r="AY295" s="3"/>
      <c r="AZ295" t="s">
        <v>67</v>
      </c>
      <c r="BA295" t="s">
        <v>67</v>
      </c>
      <c r="BB295" t="s">
        <v>317</v>
      </c>
    </row>
    <row r="296" spans="1:54" x14ac:dyDescent="0.3">
      <c r="A296">
        <v>1</v>
      </c>
      <c r="B296">
        <v>15</v>
      </c>
      <c r="C296" t="s">
        <v>54</v>
      </c>
      <c r="D296" s="3">
        <v>45353.50172453704</v>
      </c>
      <c r="E296" s="8">
        <v>45387</v>
      </c>
      <c r="F296" t="s">
        <v>1361</v>
      </c>
      <c r="G296" t="s">
        <v>56</v>
      </c>
      <c r="H296" t="s">
        <v>1362</v>
      </c>
      <c r="I296" t="s">
        <v>1363</v>
      </c>
      <c r="J296" t="s">
        <v>310</v>
      </c>
      <c r="K296" t="s">
        <v>425</v>
      </c>
      <c r="L296" t="s">
        <v>398</v>
      </c>
      <c r="M296" t="s">
        <v>312</v>
      </c>
      <c r="O296" t="s">
        <v>313</v>
      </c>
      <c r="P296" t="s">
        <v>314</v>
      </c>
      <c r="Q296" s="5">
        <v>1</v>
      </c>
      <c r="R296" s="6">
        <v>100</v>
      </c>
      <c r="S296" s="6">
        <v>100</v>
      </c>
      <c r="T296" s="6">
        <v>0</v>
      </c>
      <c r="U296" s="3">
        <v>45423.277777777781</v>
      </c>
      <c r="W296" t="s">
        <v>1364</v>
      </c>
      <c r="X296" t="s">
        <v>70</v>
      </c>
      <c r="Y296" t="s">
        <v>23</v>
      </c>
      <c r="Z296" t="s">
        <v>69</v>
      </c>
      <c r="AA296" t="s">
        <v>69</v>
      </c>
      <c r="AB296" t="s">
        <v>70</v>
      </c>
      <c r="AC296" t="s">
        <v>70</v>
      </c>
      <c r="AD296" t="s">
        <v>316</v>
      </c>
      <c r="AE296" t="s">
        <v>102</v>
      </c>
      <c r="AF296" t="s">
        <v>67</v>
      </c>
      <c r="AH296" t="b">
        <v>1</v>
      </c>
      <c r="AI296" t="b">
        <v>1</v>
      </c>
      <c r="AJ296" t="b">
        <v>0</v>
      </c>
      <c r="AK296" t="b">
        <v>1</v>
      </c>
      <c r="AL296" s="6">
        <v>0</v>
      </c>
      <c r="AM296" s="3">
        <v>45423.277777777781</v>
      </c>
      <c r="AN296">
        <v>1</v>
      </c>
      <c r="AO296" s="3"/>
      <c r="AT296" t="b">
        <v>0</v>
      </c>
      <c r="AU296" t="s">
        <v>74</v>
      </c>
      <c r="AV296" t="b">
        <v>1</v>
      </c>
      <c r="AW296" t="b">
        <v>0</v>
      </c>
      <c r="AX296" s="5">
        <v>0</v>
      </c>
      <c r="AY296" s="3"/>
      <c r="AZ296" t="s">
        <v>67</v>
      </c>
      <c r="BA296" t="s">
        <v>67</v>
      </c>
      <c r="BB296" t="s">
        <v>317</v>
      </c>
    </row>
    <row r="297" spans="1:54" x14ac:dyDescent="0.3">
      <c r="A297">
        <v>1</v>
      </c>
      <c r="B297">
        <v>15</v>
      </c>
      <c r="C297" t="s">
        <v>54</v>
      </c>
      <c r="D297" s="3">
        <v>45388.368842592587</v>
      </c>
      <c r="E297" s="8">
        <v>45388</v>
      </c>
      <c r="F297" t="s">
        <v>1365</v>
      </c>
      <c r="G297" t="s">
        <v>56</v>
      </c>
      <c r="H297" t="s">
        <v>1366</v>
      </c>
      <c r="I297" t="s">
        <v>1367</v>
      </c>
      <c r="J297" t="s">
        <v>310</v>
      </c>
      <c r="L297" t="s">
        <v>384</v>
      </c>
      <c r="M297" t="s">
        <v>312</v>
      </c>
      <c r="N297" t="s">
        <v>312</v>
      </c>
      <c r="O297" t="s">
        <v>313</v>
      </c>
      <c r="P297" t="s">
        <v>314</v>
      </c>
      <c r="Q297" s="5">
        <v>1</v>
      </c>
      <c r="R297" s="6">
        <v>100</v>
      </c>
      <c r="S297" s="6">
        <v>100</v>
      </c>
      <c r="T297" s="6">
        <v>0</v>
      </c>
      <c r="U297" s="3">
        <v>45429.302777777782</v>
      </c>
      <c r="W297" t="s">
        <v>1368</v>
      </c>
      <c r="X297" t="s">
        <v>70</v>
      </c>
      <c r="Y297" t="s">
        <v>23</v>
      </c>
      <c r="Z297" t="s">
        <v>69</v>
      </c>
      <c r="AA297" t="s">
        <v>69</v>
      </c>
      <c r="AB297" t="s">
        <v>70</v>
      </c>
      <c r="AC297" t="s">
        <v>70</v>
      </c>
      <c r="AD297" t="s">
        <v>316</v>
      </c>
      <c r="AE297" t="s">
        <v>102</v>
      </c>
      <c r="AF297" t="s">
        <v>67</v>
      </c>
      <c r="AH297" t="b">
        <v>1</v>
      </c>
      <c r="AI297" t="b">
        <v>1</v>
      </c>
      <c r="AJ297" t="b">
        <v>0</v>
      </c>
      <c r="AK297" t="b">
        <v>1</v>
      </c>
      <c r="AL297" s="6">
        <v>0</v>
      </c>
      <c r="AM297" s="3">
        <v>45422.458333333343</v>
      </c>
      <c r="AN297">
        <v>1</v>
      </c>
      <c r="AO297" s="3"/>
      <c r="AT297" t="b">
        <v>0</v>
      </c>
      <c r="AU297" t="s">
        <v>74</v>
      </c>
      <c r="AV297" t="b">
        <v>1</v>
      </c>
      <c r="AW297" t="b">
        <v>0</v>
      </c>
      <c r="AX297" s="5">
        <v>0</v>
      </c>
      <c r="AY297" s="3"/>
      <c r="AZ297" t="s">
        <v>67</v>
      </c>
      <c r="BA297" t="s">
        <v>67</v>
      </c>
      <c r="BB297" t="s">
        <v>317</v>
      </c>
    </row>
    <row r="298" spans="1:54" x14ac:dyDescent="0.3">
      <c r="A298">
        <v>1</v>
      </c>
      <c r="B298">
        <v>15</v>
      </c>
      <c r="C298" t="s">
        <v>54</v>
      </c>
      <c r="D298" s="3">
        <v>45388.383101851847</v>
      </c>
      <c r="E298" s="8">
        <v>45388</v>
      </c>
      <c r="F298" t="s">
        <v>1369</v>
      </c>
      <c r="G298" t="s">
        <v>56</v>
      </c>
      <c r="H298" t="s">
        <v>1370</v>
      </c>
      <c r="I298" t="s">
        <v>1371</v>
      </c>
      <c r="J298" t="s">
        <v>310</v>
      </c>
      <c r="K298" t="s">
        <v>750</v>
      </c>
      <c r="L298" t="s">
        <v>384</v>
      </c>
      <c r="M298" t="s">
        <v>312</v>
      </c>
      <c r="N298" t="s">
        <v>312</v>
      </c>
      <c r="O298" t="s">
        <v>313</v>
      </c>
      <c r="P298" t="s">
        <v>314</v>
      </c>
      <c r="Q298" s="5">
        <v>1</v>
      </c>
      <c r="R298" s="6">
        <v>100</v>
      </c>
      <c r="S298" s="6">
        <v>100</v>
      </c>
      <c r="T298" s="6">
        <v>0</v>
      </c>
      <c r="U298" s="3">
        <v>46087.3125</v>
      </c>
      <c r="W298" t="s">
        <v>1372</v>
      </c>
      <c r="X298" t="s">
        <v>70</v>
      </c>
      <c r="Y298" t="s">
        <v>23</v>
      </c>
      <c r="Z298" t="s">
        <v>69</v>
      </c>
      <c r="AA298" t="s">
        <v>69</v>
      </c>
      <c r="AB298" t="s">
        <v>70</v>
      </c>
      <c r="AC298" t="s">
        <v>70</v>
      </c>
      <c r="AD298" t="s">
        <v>316</v>
      </c>
      <c r="AE298" t="s">
        <v>102</v>
      </c>
      <c r="AF298" t="s">
        <v>67</v>
      </c>
      <c r="AH298" t="b">
        <v>1</v>
      </c>
      <c r="AI298" t="b">
        <v>1</v>
      </c>
      <c r="AJ298" t="b">
        <v>0</v>
      </c>
      <c r="AK298" t="b">
        <v>1</v>
      </c>
      <c r="AL298" s="6">
        <v>0</v>
      </c>
      <c r="AM298" s="3">
        <v>45570.208333333343</v>
      </c>
      <c r="AN298">
        <v>1</v>
      </c>
      <c r="AO298" s="3"/>
      <c r="AT298" t="b">
        <v>0</v>
      </c>
      <c r="AU298" t="s">
        <v>74</v>
      </c>
      <c r="AV298" t="b">
        <v>1</v>
      </c>
      <c r="AW298" t="b">
        <v>0</v>
      </c>
      <c r="AX298" s="5">
        <v>0</v>
      </c>
      <c r="AY298" s="3"/>
      <c r="AZ298" t="s">
        <v>67</v>
      </c>
      <c r="BA298" t="s">
        <v>67</v>
      </c>
      <c r="BB298" t="s">
        <v>317</v>
      </c>
    </row>
    <row r="299" spans="1:54" x14ac:dyDescent="0.3">
      <c r="A299">
        <v>1</v>
      </c>
      <c r="B299">
        <v>15</v>
      </c>
      <c r="C299" t="s">
        <v>54</v>
      </c>
      <c r="D299" s="3">
        <v>45390.614652777767</v>
      </c>
      <c r="E299" s="8">
        <v>45390</v>
      </c>
      <c r="F299" t="s">
        <v>1373</v>
      </c>
      <c r="G299" t="s">
        <v>56</v>
      </c>
      <c r="H299" t="s">
        <v>1374</v>
      </c>
      <c r="I299" t="s">
        <v>1375</v>
      </c>
      <c r="J299" t="s">
        <v>59</v>
      </c>
      <c r="K299" t="s">
        <v>1376</v>
      </c>
      <c r="L299" t="s">
        <v>1377</v>
      </c>
      <c r="M299" t="s">
        <v>63</v>
      </c>
      <c r="N299" t="s">
        <v>63</v>
      </c>
      <c r="O299" t="s">
        <v>82</v>
      </c>
      <c r="P299" t="s">
        <v>83</v>
      </c>
      <c r="Q299" s="5">
        <v>1</v>
      </c>
      <c r="R299" s="6">
        <v>130</v>
      </c>
      <c r="S299" s="6">
        <v>130</v>
      </c>
      <c r="T299" s="6">
        <v>92.59</v>
      </c>
      <c r="U299" s="3">
        <v>45789.458333333343</v>
      </c>
      <c r="W299" t="s">
        <v>1378</v>
      </c>
      <c r="X299" t="s">
        <v>67</v>
      </c>
      <c r="Y299" t="s">
        <v>68</v>
      </c>
      <c r="Z299" t="s">
        <v>69</v>
      </c>
      <c r="AA299" t="s">
        <v>69</v>
      </c>
      <c r="AB299" t="s">
        <v>67</v>
      </c>
      <c r="AC299" t="s">
        <v>70</v>
      </c>
      <c r="AD299" t="s">
        <v>71</v>
      </c>
      <c r="AE299" t="s">
        <v>84</v>
      </c>
      <c r="AF299" t="s">
        <v>67</v>
      </c>
      <c r="AG299" t="s">
        <v>82</v>
      </c>
      <c r="AH299" t="b">
        <v>0</v>
      </c>
      <c r="AI299" t="b">
        <v>0</v>
      </c>
      <c r="AJ299" t="b">
        <v>1</v>
      </c>
      <c r="AK299" t="b">
        <v>1</v>
      </c>
      <c r="AL299" s="6">
        <v>92.59</v>
      </c>
      <c r="AM299" s="3">
        <v>45789.458333333343</v>
      </c>
      <c r="AN299">
        <v>1</v>
      </c>
      <c r="AO299" s="3"/>
      <c r="AT299" t="b">
        <v>0</v>
      </c>
      <c r="AU299" t="s">
        <v>74</v>
      </c>
      <c r="AV299" t="b">
        <v>1</v>
      </c>
      <c r="AW299" t="b">
        <v>0</v>
      </c>
      <c r="AX299" s="5">
        <v>0</v>
      </c>
      <c r="AY299" s="3"/>
      <c r="AZ299" t="s">
        <v>67</v>
      </c>
      <c r="BA299" t="s">
        <v>67</v>
      </c>
      <c r="BB299" t="s">
        <v>317</v>
      </c>
    </row>
    <row r="300" spans="1:54" x14ac:dyDescent="0.3">
      <c r="A300">
        <v>1</v>
      </c>
      <c r="B300">
        <v>15</v>
      </c>
      <c r="C300" t="s">
        <v>54</v>
      </c>
      <c r="D300" s="3">
        <v>45391.455138888887</v>
      </c>
      <c r="E300" s="8">
        <v>45391</v>
      </c>
      <c r="F300" t="s">
        <v>1379</v>
      </c>
      <c r="G300" t="s">
        <v>56</v>
      </c>
      <c r="H300" t="s">
        <v>1380</v>
      </c>
      <c r="I300" t="s">
        <v>1381</v>
      </c>
      <c r="J300" t="s">
        <v>59</v>
      </c>
      <c r="K300" t="s">
        <v>270</v>
      </c>
      <c r="L300" t="s">
        <v>217</v>
      </c>
      <c r="M300" t="s">
        <v>63</v>
      </c>
      <c r="O300" t="s">
        <v>82</v>
      </c>
      <c r="P300" t="s">
        <v>83</v>
      </c>
      <c r="Q300" s="5">
        <v>1</v>
      </c>
      <c r="R300" s="6">
        <v>130</v>
      </c>
      <c r="S300" s="6">
        <v>130</v>
      </c>
      <c r="T300" s="6">
        <v>92.59</v>
      </c>
      <c r="U300" s="3">
        <v>46300.458333333343</v>
      </c>
      <c r="W300" t="s">
        <v>1382</v>
      </c>
      <c r="X300" t="s">
        <v>67</v>
      </c>
      <c r="Y300" t="s">
        <v>68</v>
      </c>
      <c r="Z300" t="s">
        <v>1383</v>
      </c>
      <c r="AA300" t="s">
        <v>522</v>
      </c>
      <c r="AB300" t="s">
        <v>70</v>
      </c>
      <c r="AC300" t="s">
        <v>70</v>
      </c>
      <c r="AD300" t="s">
        <v>71</v>
      </c>
      <c r="AE300" t="s">
        <v>84</v>
      </c>
      <c r="AF300" t="s">
        <v>67</v>
      </c>
      <c r="AG300" t="s">
        <v>82</v>
      </c>
      <c r="AH300" t="b">
        <v>0</v>
      </c>
      <c r="AI300" t="b">
        <v>0</v>
      </c>
      <c r="AJ300" t="b">
        <v>0</v>
      </c>
      <c r="AK300" t="b">
        <v>0</v>
      </c>
      <c r="AL300" s="6">
        <v>92.59</v>
      </c>
      <c r="AM300" s="3">
        <v>46300.458333333343</v>
      </c>
      <c r="AN300">
        <v>1</v>
      </c>
      <c r="AO300" s="3"/>
      <c r="AT300" t="b">
        <v>0</v>
      </c>
      <c r="AU300" t="s">
        <v>74</v>
      </c>
      <c r="AV300" t="b">
        <v>1</v>
      </c>
      <c r="AW300" t="b">
        <v>0</v>
      </c>
      <c r="AX300" s="5">
        <v>0</v>
      </c>
      <c r="AY300" s="3"/>
      <c r="AZ300" t="s">
        <v>67</v>
      </c>
      <c r="BA300" t="s">
        <v>67</v>
      </c>
      <c r="BB300" t="s">
        <v>317</v>
      </c>
    </row>
    <row r="301" spans="1:54" x14ac:dyDescent="0.3">
      <c r="A301">
        <v>1</v>
      </c>
      <c r="B301">
        <v>15</v>
      </c>
      <c r="C301" t="s">
        <v>54</v>
      </c>
      <c r="D301" s="3">
        <v>45391.455138888887</v>
      </c>
      <c r="E301" s="8">
        <v>45391</v>
      </c>
      <c r="F301" t="s">
        <v>1379</v>
      </c>
      <c r="G301" t="s">
        <v>56</v>
      </c>
      <c r="H301" t="s">
        <v>1380</v>
      </c>
      <c r="I301" t="s">
        <v>1381</v>
      </c>
      <c r="J301" t="s">
        <v>59</v>
      </c>
      <c r="K301" t="s">
        <v>270</v>
      </c>
      <c r="L301" t="s">
        <v>217</v>
      </c>
      <c r="M301" t="s">
        <v>63</v>
      </c>
      <c r="O301" t="s">
        <v>64</v>
      </c>
      <c r="P301" t="s">
        <v>65</v>
      </c>
      <c r="Q301" s="5">
        <v>1</v>
      </c>
      <c r="R301" s="6">
        <v>171.5</v>
      </c>
      <c r="S301" s="6">
        <v>171.5</v>
      </c>
      <c r="T301" s="6">
        <v>122.5</v>
      </c>
      <c r="U301" s="3">
        <v>46300.458333333343</v>
      </c>
      <c r="W301" t="s">
        <v>1382</v>
      </c>
      <c r="X301" t="s">
        <v>67</v>
      </c>
      <c r="Y301" t="s">
        <v>68</v>
      </c>
      <c r="Z301" t="s">
        <v>1383</v>
      </c>
      <c r="AA301" t="s">
        <v>522</v>
      </c>
      <c r="AB301" t="s">
        <v>70</v>
      </c>
      <c r="AC301" t="s">
        <v>70</v>
      </c>
      <c r="AD301" t="s">
        <v>71</v>
      </c>
      <c r="AE301" t="s">
        <v>72</v>
      </c>
      <c r="AF301" t="s">
        <v>67</v>
      </c>
      <c r="AG301" t="s">
        <v>73</v>
      </c>
      <c r="AH301" t="b">
        <v>0</v>
      </c>
      <c r="AI301" t="b">
        <v>0</v>
      </c>
      <c r="AJ301" t="b">
        <v>0</v>
      </c>
      <c r="AK301" t="b">
        <v>0</v>
      </c>
      <c r="AL301" s="6">
        <v>122.5</v>
      </c>
      <c r="AM301" s="3">
        <v>46300.458333333343</v>
      </c>
      <c r="AN301">
        <v>1</v>
      </c>
      <c r="AO301" s="3"/>
      <c r="AT301" t="b">
        <v>0</v>
      </c>
      <c r="AU301" t="s">
        <v>74</v>
      </c>
      <c r="AV301" t="b">
        <v>1</v>
      </c>
      <c r="AW301" t="b">
        <v>0</v>
      </c>
      <c r="AX301" s="5">
        <v>0</v>
      </c>
      <c r="AY301" s="3"/>
      <c r="AZ301" t="s">
        <v>67</v>
      </c>
      <c r="BA301" t="s">
        <v>67</v>
      </c>
      <c r="BB301" t="s">
        <v>317</v>
      </c>
    </row>
    <row r="302" spans="1:54" x14ac:dyDescent="0.3">
      <c r="A302">
        <v>1</v>
      </c>
      <c r="B302">
        <v>15</v>
      </c>
      <c r="C302" t="s">
        <v>54</v>
      </c>
      <c r="D302" s="3">
        <v>45391.455138888887</v>
      </c>
      <c r="E302" s="8">
        <v>45391</v>
      </c>
      <c r="F302" t="s">
        <v>1379</v>
      </c>
      <c r="G302" t="s">
        <v>56</v>
      </c>
      <c r="H302" t="s">
        <v>1380</v>
      </c>
      <c r="I302" t="s">
        <v>1381</v>
      </c>
      <c r="J302" t="s">
        <v>59</v>
      </c>
      <c r="K302" t="s">
        <v>270</v>
      </c>
      <c r="L302" t="s">
        <v>217</v>
      </c>
      <c r="M302" t="s">
        <v>63</v>
      </c>
      <c r="O302" t="s">
        <v>1384</v>
      </c>
      <c r="P302" t="s">
        <v>1385</v>
      </c>
      <c r="Q302" s="5">
        <v>1</v>
      </c>
      <c r="R302" s="6">
        <v>520</v>
      </c>
      <c r="S302" s="6">
        <v>520</v>
      </c>
      <c r="T302" s="6">
        <v>63.25</v>
      </c>
      <c r="U302" s="3">
        <v>46300.458333333343</v>
      </c>
      <c r="W302" t="s">
        <v>1382</v>
      </c>
      <c r="X302" t="s">
        <v>67</v>
      </c>
      <c r="Y302" t="s">
        <v>68</v>
      </c>
      <c r="Z302" t="s">
        <v>1383</v>
      </c>
      <c r="AA302" t="s">
        <v>522</v>
      </c>
      <c r="AB302" t="s">
        <v>70</v>
      </c>
      <c r="AC302" t="s">
        <v>70</v>
      </c>
      <c r="AD302" t="s">
        <v>71</v>
      </c>
      <c r="AE302" t="s">
        <v>220</v>
      </c>
      <c r="AF302" t="s">
        <v>67</v>
      </c>
      <c r="AG302" t="s">
        <v>1386</v>
      </c>
      <c r="AH302" t="b">
        <v>0</v>
      </c>
      <c r="AI302" t="b">
        <v>0</v>
      </c>
      <c r="AJ302" t="b">
        <v>0</v>
      </c>
      <c r="AK302" t="b">
        <v>0</v>
      </c>
      <c r="AL302" s="6">
        <v>63.25</v>
      </c>
      <c r="AM302" s="3">
        <v>46300.458333333343</v>
      </c>
      <c r="AN302">
        <v>1</v>
      </c>
      <c r="AO302" s="3"/>
      <c r="AT302" t="b">
        <v>0</v>
      </c>
      <c r="AU302" t="s">
        <v>74</v>
      </c>
      <c r="AV302" t="b">
        <v>1</v>
      </c>
      <c r="AW302" t="b">
        <v>0</v>
      </c>
      <c r="AX302" s="5">
        <v>0</v>
      </c>
      <c r="AY302" s="3"/>
      <c r="AZ302" t="s">
        <v>67</v>
      </c>
      <c r="BA302" t="s">
        <v>67</v>
      </c>
      <c r="BB302" t="s">
        <v>317</v>
      </c>
    </row>
    <row r="303" spans="1:54" x14ac:dyDescent="0.3">
      <c r="A303">
        <v>1</v>
      </c>
      <c r="B303">
        <v>15</v>
      </c>
      <c r="C303" t="s">
        <v>54</v>
      </c>
      <c r="D303" s="3">
        <v>45391.455138888887</v>
      </c>
      <c r="E303" s="8">
        <v>45391</v>
      </c>
      <c r="F303" t="s">
        <v>1379</v>
      </c>
      <c r="G303" t="s">
        <v>56</v>
      </c>
      <c r="H303" t="s">
        <v>1380</v>
      </c>
      <c r="I303" t="s">
        <v>1381</v>
      </c>
      <c r="J303" t="s">
        <v>59</v>
      </c>
      <c r="K303" t="s">
        <v>270</v>
      </c>
      <c r="L303" t="s">
        <v>217</v>
      </c>
      <c r="M303" t="s">
        <v>63</v>
      </c>
      <c r="O303" t="s">
        <v>1387</v>
      </c>
      <c r="P303" t="s">
        <v>1388</v>
      </c>
      <c r="Q303" s="5">
        <v>1</v>
      </c>
      <c r="R303" s="6">
        <v>520</v>
      </c>
      <c r="S303" s="6">
        <v>520</v>
      </c>
      <c r="T303" s="6">
        <v>63.25</v>
      </c>
      <c r="U303" s="3">
        <v>46300.458333333343</v>
      </c>
      <c r="W303" t="s">
        <v>1382</v>
      </c>
      <c r="X303" t="s">
        <v>67</v>
      </c>
      <c r="Y303" t="s">
        <v>68</v>
      </c>
      <c r="Z303" t="s">
        <v>1383</v>
      </c>
      <c r="AA303" t="s">
        <v>522</v>
      </c>
      <c r="AB303" t="s">
        <v>70</v>
      </c>
      <c r="AC303" t="s">
        <v>70</v>
      </c>
      <c r="AD303" t="s">
        <v>71</v>
      </c>
      <c r="AE303" t="s">
        <v>220</v>
      </c>
      <c r="AF303" t="s">
        <v>67</v>
      </c>
      <c r="AG303" t="s">
        <v>1389</v>
      </c>
      <c r="AH303" t="b">
        <v>0</v>
      </c>
      <c r="AI303" t="b">
        <v>0</v>
      </c>
      <c r="AJ303" t="b">
        <v>0</v>
      </c>
      <c r="AK303" t="b">
        <v>0</v>
      </c>
      <c r="AL303" s="6">
        <v>63.25</v>
      </c>
      <c r="AM303" s="3">
        <v>46300.458333333343</v>
      </c>
      <c r="AN303">
        <v>1</v>
      </c>
      <c r="AO303" s="3"/>
      <c r="AT303" t="b">
        <v>0</v>
      </c>
      <c r="AU303" t="s">
        <v>74</v>
      </c>
      <c r="AV303" t="b">
        <v>1</v>
      </c>
      <c r="AW303" t="b">
        <v>0</v>
      </c>
      <c r="AX303" s="5">
        <v>0</v>
      </c>
      <c r="AY303" s="3"/>
      <c r="AZ303" t="s">
        <v>67</v>
      </c>
      <c r="BA303" t="s">
        <v>67</v>
      </c>
      <c r="BB303" t="s">
        <v>317</v>
      </c>
    </row>
    <row r="304" spans="1:54" x14ac:dyDescent="0.3">
      <c r="A304">
        <v>1</v>
      </c>
      <c r="B304">
        <v>15</v>
      </c>
      <c r="C304" t="s">
        <v>54</v>
      </c>
      <c r="D304" s="3">
        <v>45391.455138888887</v>
      </c>
      <c r="E304" s="8">
        <v>45391</v>
      </c>
      <c r="F304" t="s">
        <v>1379</v>
      </c>
      <c r="G304" t="s">
        <v>56</v>
      </c>
      <c r="H304" t="s">
        <v>1380</v>
      </c>
      <c r="I304" t="s">
        <v>1381</v>
      </c>
      <c r="J304" t="s">
        <v>59</v>
      </c>
      <c r="K304" t="s">
        <v>270</v>
      </c>
      <c r="L304" t="s">
        <v>217</v>
      </c>
      <c r="M304" t="s">
        <v>63</v>
      </c>
      <c r="O304" t="s">
        <v>247</v>
      </c>
      <c r="P304" t="s">
        <v>248</v>
      </c>
      <c r="Q304" s="5">
        <v>2</v>
      </c>
      <c r="R304" s="6">
        <v>19</v>
      </c>
      <c r="S304" s="6">
        <v>38</v>
      </c>
      <c r="T304" s="6">
        <v>25.76</v>
      </c>
      <c r="U304" s="3">
        <v>46300.458333333343</v>
      </c>
      <c r="W304" t="s">
        <v>1382</v>
      </c>
      <c r="X304" t="s">
        <v>67</v>
      </c>
      <c r="Y304" t="s">
        <v>68</v>
      </c>
      <c r="Z304" t="s">
        <v>1383</v>
      </c>
      <c r="AA304" t="s">
        <v>522</v>
      </c>
      <c r="AB304" t="s">
        <v>70</v>
      </c>
      <c r="AC304" t="s">
        <v>70</v>
      </c>
      <c r="AD304" t="s">
        <v>71</v>
      </c>
      <c r="AE304" t="s">
        <v>220</v>
      </c>
      <c r="AF304" t="s">
        <v>67</v>
      </c>
      <c r="AG304" t="s">
        <v>250</v>
      </c>
      <c r="AH304" t="b">
        <v>0</v>
      </c>
      <c r="AI304" t="b">
        <v>0</v>
      </c>
      <c r="AJ304" t="b">
        <v>0</v>
      </c>
      <c r="AK304" t="b">
        <v>0</v>
      </c>
      <c r="AL304" s="6">
        <v>12.88</v>
      </c>
      <c r="AM304" s="3">
        <v>46300.458333333343</v>
      </c>
      <c r="AN304">
        <v>1</v>
      </c>
      <c r="AO304" s="3"/>
      <c r="AT304" t="b">
        <v>0</v>
      </c>
      <c r="AU304" t="s">
        <v>74</v>
      </c>
      <c r="AV304" t="b">
        <v>1</v>
      </c>
      <c r="AW304" t="b">
        <v>0</v>
      </c>
      <c r="AX304" s="5">
        <v>0</v>
      </c>
      <c r="AY304" s="3"/>
      <c r="AZ304" t="s">
        <v>67</v>
      </c>
      <c r="BA304" t="s">
        <v>67</v>
      </c>
      <c r="BB304" t="s">
        <v>317</v>
      </c>
    </row>
    <row r="305" spans="1:54" x14ac:dyDescent="0.3">
      <c r="A305">
        <v>1</v>
      </c>
      <c r="B305">
        <v>15</v>
      </c>
      <c r="C305" t="s">
        <v>54</v>
      </c>
      <c r="D305" s="3">
        <v>45422.471192129633</v>
      </c>
      <c r="E305" s="8">
        <v>45422</v>
      </c>
      <c r="F305" t="s">
        <v>1390</v>
      </c>
      <c r="G305" t="s">
        <v>56</v>
      </c>
      <c r="H305" t="s">
        <v>415</v>
      </c>
      <c r="I305" t="s">
        <v>416</v>
      </c>
      <c r="J305" t="s">
        <v>310</v>
      </c>
      <c r="K305" t="s">
        <v>353</v>
      </c>
      <c r="L305" t="s">
        <v>384</v>
      </c>
      <c r="M305" t="s">
        <v>312</v>
      </c>
      <c r="N305" t="s">
        <v>312</v>
      </c>
      <c r="O305" t="s">
        <v>313</v>
      </c>
      <c r="P305" t="s">
        <v>314</v>
      </c>
      <c r="Q305" s="5">
        <v>1</v>
      </c>
      <c r="R305" s="6">
        <v>100</v>
      </c>
      <c r="S305" s="6">
        <v>100</v>
      </c>
      <c r="T305" s="6">
        <v>0</v>
      </c>
      <c r="U305" s="3">
        <v>45506.458333333343</v>
      </c>
      <c r="W305" t="s">
        <v>417</v>
      </c>
      <c r="X305" t="s">
        <v>70</v>
      </c>
      <c r="Y305" t="s">
        <v>23</v>
      </c>
      <c r="Z305" t="s">
        <v>69</v>
      </c>
      <c r="AA305" t="s">
        <v>69</v>
      </c>
      <c r="AB305" t="s">
        <v>67</v>
      </c>
      <c r="AC305" t="s">
        <v>70</v>
      </c>
      <c r="AD305" t="s">
        <v>316</v>
      </c>
      <c r="AE305" t="s">
        <v>102</v>
      </c>
      <c r="AF305" t="s">
        <v>67</v>
      </c>
      <c r="AH305" t="b">
        <v>1</v>
      </c>
      <c r="AI305" t="b">
        <v>1</v>
      </c>
      <c r="AJ305" t="b">
        <v>0</v>
      </c>
      <c r="AK305" t="b">
        <v>1</v>
      </c>
      <c r="AL305" s="6">
        <v>0</v>
      </c>
      <c r="AM305" s="3">
        <v>45506.458333333343</v>
      </c>
      <c r="AN305">
        <v>1</v>
      </c>
      <c r="AO305" s="3"/>
      <c r="AT305" t="b">
        <v>0</v>
      </c>
      <c r="AU305" t="s">
        <v>74</v>
      </c>
      <c r="AV305" t="b">
        <v>1</v>
      </c>
      <c r="AW305" t="b">
        <v>0</v>
      </c>
      <c r="AX305" s="5">
        <v>0</v>
      </c>
      <c r="AY305" s="3"/>
      <c r="AZ305" t="s">
        <v>67</v>
      </c>
      <c r="BA305" t="s">
        <v>67</v>
      </c>
      <c r="BB305" t="s">
        <v>317</v>
      </c>
    </row>
    <row r="306" spans="1:54" x14ac:dyDescent="0.3">
      <c r="A306">
        <v>1</v>
      </c>
      <c r="B306">
        <v>15</v>
      </c>
      <c r="C306" t="s">
        <v>54</v>
      </c>
      <c r="D306" s="3">
        <v>45468.648043981477</v>
      </c>
      <c r="E306" s="8">
        <v>45470</v>
      </c>
      <c r="F306" t="s">
        <v>1391</v>
      </c>
      <c r="G306" t="s">
        <v>56</v>
      </c>
      <c r="H306" t="s">
        <v>1392</v>
      </c>
      <c r="I306" t="s">
        <v>1393</v>
      </c>
      <c r="J306" t="s">
        <v>336</v>
      </c>
      <c r="K306" t="s">
        <v>1394</v>
      </c>
      <c r="L306" t="s">
        <v>1321</v>
      </c>
      <c r="M306" t="s">
        <v>97</v>
      </c>
      <c r="N306" t="s">
        <v>97</v>
      </c>
      <c r="O306" t="s">
        <v>1395</v>
      </c>
      <c r="P306" t="s">
        <v>1396</v>
      </c>
      <c r="Q306" s="5">
        <v>4</v>
      </c>
      <c r="R306" s="6">
        <v>87</v>
      </c>
      <c r="S306" s="6">
        <v>348</v>
      </c>
      <c r="T306" s="6">
        <v>216</v>
      </c>
      <c r="U306" s="3">
        <v>45561.541666666657</v>
      </c>
      <c r="W306" t="s">
        <v>1397</v>
      </c>
      <c r="X306" t="s">
        <v>70</v>
      </c>
      <c r="Y306" t="s">
        <v>23</v>
      </c>
      <c r="Z306" t="s">
        <v>69</v>
      </c>
      <c r="AA306" t="s">
        <v>69</v>
      </c>
      <c r="AB306" t="s">
        <v>70</v>
      </c>
      <c r="AC306" t="s">
        <v>67</v>
      </c>
      <c r="AD306" t="s">
        <v>101</v>
      </c>
      <c r="AF306" t="s">
        <v>67</v>
      </c>
      <c r="AH306" t="b">
        <v>0</v>
      </c>
      <c r="AI306" t="b">
        <v>0</v>
      </c>
      <c r="AJ306" t="b">
        <v>0</v>
      </c>
      <c r="AK306" t="b">
        <v>0</v>
      </c>
      <c r="AL306" s="6">
        <v>54</v>
      </c>
      <c r="AM306" s="3">
        <v>45525.25</v>
      </c>
      <c r="AN306">
        <v>1</v>
      </c>
      <c r="AO306" s="3"/>
      <c r="AP306" t="s">
        <v>112</v>
      </c>
      <c r="AQ306" t="s">
        <v>112</v>
      </c>
      <c r="AR306" t="s">
        <v>113</v>
      </c>
      <c r="AS306">
        <v>1</v>
      </c>
      <c r="AT306" t="b">
        <v>0</v>
      </c>
      <c r="AU306" t="s">
        <v>114</v>
      </c>
      <c r="AV306" t="b">
        <v>1</v>
      </c>
      <c r="AW306" t="b">
        <v>0</v>
      </c>
      <c r="AX306" s="5">
        <v>0</v>
      </c>
      <c r="AY306" s="3"/>
      <c r="AZ306" t="s">
        <v>67</v>
      </c>
      <c r="BA306" t="s">
        <v>67</v>
      </c>
      <c r="BB306" t="s">
        <v>997</v>
      </c>
    </row>
    <row r="307" spans="1:54" x14ac:dyDescent="0.3">
      <c r="A307">
        <v>1</v>
      </c>
      <c r="B307">
        <v>15</v>
      </c>
      <c r="C307" t="s">
        <v>54</v>
      </c>
      <c r="D307" s="3">
        <v>45534.383958333332</v>
      </c>
      <c r="E307" s="8">
        <v>45534</v>
      </c>
      <c r="F307" t="s">
        <v>1398</v>
      </c>
      <c r="G307" t="s">
        <v>56</v>
      </c>
      <c r="H307" t="s">
        <v>1399</v>
      </c>
      <c r="I307" t="s">
        <v>1400</v>
      </c>
      <c r="J307" t="s">
        <v>310</v>
      </c>
      <c r="K307" t="s">
        <v>513</v>
      </c>
      <c r="L307" t="s">
        <v>384</v>
      </c>
      <c r="M307" t="s">
        <v>312</v>
      </c>
      <c r="N307" t="s">
        <v>312</v>
      </c>
      <c r="O307" t="s">
        <v>313</v>
      </c>
      <c r="P307" t="s">
        <v>314</v>
      </c>
      <c r="Q307" s="5">
        <v>1</v>
      </c>
      <c r="R307" s="6">
        <v>100</v>
      </c>
      <c r="S307" s="6">
        <v>100</v>
      </c>
      <c r="T307" s="6">
        <v>0</v>
      </c>
      <c r="U307" s="3">
        <v>45632.263888888891</v>
      </c>
      <c r="W307" t="s">
        <v>1401</v>
      </c>
      <c r="X307" t="s">
        <v>70</v>
      </c>
      <c r="Y307" t="s">
        <v>23</v>
      </c>
      <c r="Z307" t="s">
        <v>69</v>
      </c>
      <c r="AA307" t="s">
        <v>69</v>
      </c>
      <c r="AB307" t="s">
        <v>70</v>
      </c>
      <c r="AC307" t="s">
        <v>70</v>
      </c>
      <c r="AD307" t="s">
        <v>316</v>
      </c>
      <c r="AE307" t="s">
        <v>102</v>
      </c>
      <c r="AF307" t="s">
        <v>67</v>
      </c>
      <c r="AH307" t="b">
        <v>1</v>
      </c>
      <c r="AI307" t="b">
        <v>1</v>
      </c>
      <c r="AJ307" t="b">
        <v>0</v>
      </c>
      <c r="AK307" t="b">
        <v>1</v>
      </c>
      <c r="AL307" s="6">
        <v>0</v>
      </c>
      <c r="AM307" s="3">
        <v>45632.263888888891</v>
      </c>
      <c r="AN307">
        <v>1</v>
      </c>
      <c r="AO307" s="3"/>
      <c r="AT307" t="b">
        <v>0</v>
      </c>
      <c r="AU307" t="s">
        <v>74</v>
      </c>
      <c r="AV307" t="b">
        <v>1</v>
      </c>
      <c r="AW307" t="b">
        <v>0</v>
      </c>
      <c r="AX307" s="5">
        <v>0</v>
      </c>
      <c r="AY307" s="3"/>
      <c r="AZ307" t="s">
        <v>67</v>
      </c>
      <c r="BA307" t="s">
        <v>67</v>
      </c>
      <c r="BB307" t="s">
        <v>317</v>
      </c>
    </row>
    <row r="308" spans="1:54" x14ac:dyDescent="0.3">
      <c r="A308">
        <v>1</v>
      </c>
      <c r="B308">
        <v>15</v>
      </c>
      <c r="C308" t="s">
        <v>54</v>
      </c>
      <c r="D308" s="3">
        <v>45534.401145833333</v>
      </c>
      <c r="E308" s="8">
        <v>45534</v>
      </c>
      <c r="F308" t="s">
        <v>1402</v>
      </c>
      <c r="G308" t="s">
        <v>56</v>
      </c>
      <c r="H308" t="s">
        <v>1403</v>
      </c>
      <c r="I308" t="s">
        <v>1404</v>
      </c>
      <c r="J308" t="s">
        <v>310</v>
      </c>
      <c r="K308" t="s">
        <v>353</v>
      </c>
      <c r="L308" t="s">
        <v>384</v>
      </c>
      <c r="M308" t="s">
        <v>312</v>
      </c>
      <c r="N308" t="s">
        <v>312</v>
      </c>
      <c r="O308" t="s">
        <v>313</v>
      </c>
      <c r="P308" t="s">
        <v>314</v>
      </c>
      <c r="Q308" s="5">
        <v>1</v>
      </c>
      <c r="R308" s="6">
        <v>100</v>
      </c>
      <c r="S308" s="6">
        <v>100</v>
      </c>
      <c r="T308" s="6">
        <v>0</v>
      </c>
      <c r="U308" s="3">
        <v>45535.225694444453</v>
      </c>
      <c r="W308" t="s">
        <v>1405</v>
      </c>
      <c r="X308" t="s">
        <v>70</v>
      </c>
      <c r="Y308" t="s">
        <v>23</v>
      </c>
      <c r="Z308" t="s">
        <v>69</v>
      </c>
      <c r="AA308" t="s">
        <v>69</v>
      </c>
      <c r="AB308" t="s">
        <v>70</v>
      </c>
      <c r="AC308" t="s">
        <v>70</v>
      </c>
      <c r="AD308" t="s">
        <v>316</v>
      </c>
      <c r="AE308" t="s">
        <v>102</v>
      </c>
      <c r="AF308" t="s">
        <v>67</v>
      </c>
      <c r="AH308" t="b">
        <v>1</v>
      </c>
      <c r="AI308" t="b">
        <v>1</v>
      </c>
      <c r="AJ308" t="b">
        <v>0</v>
      </c>
      <c r="AK308" t="b">
        <v>1</v>
      </c>
      <c r="AL308" s="6">
        <v>0</v>
      </c>
      <c r="AM308" s="3">
        <v>45535.225694444453</v>
      </c>
      <c r="AN308">
        <v>1</v>
      </c>
      <c r="AO308" s="3"/>
      <c r="AT308" t="b">
        <v>0</v>
      </c>
      <c r="AU308" t="s">
        <v>74</v>
      </c>
      <c r="AV308" t="b">
        <v>1</v>
      </c>
      <c r="AW308" t="b">
        <v>0</v>
      </c>
      <c r="AX308" s="5">
        <v>0</v>
      </c>
      <c r="AY308" s="3"/>
      <c r="AZ308" t="s">
        <v>67</v>
      </c>
      <c r="BA308" t="s">
        <v>67</v>
      </c>
      <c r="BB308" t="s">
        <v>317</v>
      </c>
    </row>
    <row r="309" spans="1:54" x14ac:dyDescent="0.3">
      <c r="A309">
        <v>1</v>
      </c>
      <c r="B309">
        <v>15</v>
      </c>
      <c r="C309" t="s">
        <v>54</v>
      </c>
      <c r="D309" s="3">
        <v>45534.406585648147</v>
      </c>
      <c r="E309" s="8">
        <v>45534</v>
      </c>
      <c r="F309" t="s">
        <v>1406</v>
      </c>
      <c r="G309" t="s">
        <v>56</v>
      </c>
      <c r="H309" t="s">
        <v>1407</v>
      </c>
      <c r="I309" t="s">
        <v>1408</v>
      </c>
      <c r="J309" t="s">
        <v>310</v>
      </c>
      <c r="K309" t="s">
        <v>393</v>
      </c>
      <c r="L309" t="s">
        <v>384</v>
      </c>
      <c r="M309" t="s">
        <v>312</v>
      </c>
      <c r="N309" t="s">
        <v>312</v>
      </c>
      <c r="O309" t="s">
        <v>313</v>
      </c>
      <c r="P309" t="s">
        <v>314</v>
      </c>
      <c r="Q309" s="5">
        <v>1</v>
      </c>
      <c r="R309" s="6">
        <v>100</v>
      </c>
      <c r="S309" s="6">
        <v>100</v>
      </c>
      <c r="T309" s="6">
        <v>0</v>
      </c>
      <c r="U309" s="3">
        <v>46205.520833333343</v>
      </c>
      <c r="W309" t="s">
        <v>1409</v>
      </c>
      <c r="X309" t="s">
        <v>70</v>
      </c>
      <c r="Y309" t="s">
        <v>23</v>
      </c>
      <c r="Z309" t="s">
        <v>69</v>
      </c>
      <c r="AA309" t="s">
        <v>69</v>
      </c>
      <c r="AB309" t="s">
        <v>67</v>
      </c>
      <c r="AC309" t="s">
        <v>70</v>
      </c>
      <c r="AD309" t="s">
        <v>316</v>
      </c>
      <c r="AE309" t="s">
        <v>102</v>
      </c>
      <c r="AF309" t="s">
        <v>67</v>
      </c>
      <c r="AH309" t="b">
        <v>0</v>
      </c>
      <c r="AI309" t="b">
        <v>1</v>
      </c>
      <c r="AJ309" t="b">
        <v>0</v>
      </c>
      <c r="AK309" t="b">
        <v>1</v>
      </c>
      <c r="AL309" s="6">
        <v>0</v>
      </c>
      <c r="AM309" s="3">
        <v>45569.208333333343</v>
      </c>
      <c r="AN309">
        <v>1</v>
      </c>
      <c r="AO309" s="3"/>
      <c r="AT309" t="b">
        <v>0</v>
      </c>
      <c r="AU309" t="s">
        <v>74</v>
      </c>
      <c r="AV309" t="b">
        <v>1</v>
      </c>
      <c r="AW309" t="b">
        <v>0</v>
      </c>
      <c r="AX309" s="5">
        <v>0</v>
      </c>
      <c r="AY309" s="3"/>
      <c r="AZ309" t="s">
        <v>67</v>
      </c>
      <c r="BA309" t="s">
        <v>67</v>
      </c>
      <c r="BB309" t="s">
        <v>317</v>
      </c>
    </row>
    <row r="310" spans="1:54" x14ac:dyDescent="0.3">
      <c r="A310">
        <v>1</v>
      </c>
      <c r="B310">
        <v>15</v>
      </c>
      <c r="C310" t="s">
        <v>54</v>
      </c>
      <c r="D310" s="3">
        <v>45534.410162037027</v>
      </c>
      <c r="E310" s="8">
        <v>45534</v>
      </c>
      <c r="F310" t="s">
        <v>1410</v>
      </c>
      <c r="G310" t="s">
        <v>56</v>
      </c>
      <c r="H310" t="s">
        <v>1411</v>
      </c>
      <c r="I310" t="s">
        <v>1412</v>
      </c>
      <c r="J310" t="s">
        <v>310</v>
      </c>
      <c r="K310" t="s">
        <v>1413</v>
      </c>
      <c r="L310" t="s">
        <v>384</v>
      </c>
      <c r="M310" t="s">
        <v>312</v>
      </c>
      <c r="N310" t="s">
        <v>312</v>
      </c>
      <c r="O310" t="s">
        <v>313</v>
      </c>
      <c r="P310" t="s">
        <v>314</v>
      </c>
      <c r="Q310" s="5">
        <v>1</v>
      </c>
      <c r="R310" s="6">
        <v>100</v>
      </c>
      <c r="S310" s="6">
        <v>100</v>
      </c>
      <c r="T310" s="6">
        <v>0</v>
      </c>
      <c r="U310" s="3">
        <v>46288.354166666657</v>
      </c>
      <c r="W310" t="s">
        <v>1414</v>
      </c>
      <c r="X310" t="s">
        <v>70</v>
      </c>
      <c r="Y310" t="s">
        <v>23</v>
      </c>
      <c r="Z310" t="s">
        <v>69</v>
      </c>
      <c r="AA310" t="s">
        <v>69</v>
      </c>
      <c r="AB310" t="s">
        <v>70</v>
      </c>
      <c r="AC310" t="s">
        <v>70</v>
      </c>
      <c r="AD310" t="s">
        <v>316</v>
      </c>
      <c r="AE310" t="s">
        <v>102</v>
      </c>
      <c r="AF310" t="s">
        <v>67</v>
      </c>
      <c r="AH310" t="b">
        <v>0</v>
      </c>
      <c r="AI310" t="b">
        <v>1</v>
      </c>
      <c r="AJ310" t="b">
        <v>0</v>
      </c>
      <c r="AK310" t="b">
        <v>1</v>
      </c>
      <c r="AL310" s="6">
        <v>0</v>
      </c>
      <c r="AM310" s="3">
        <v>45630.458333333343</v>
      </c>
      <c r="AN310">
        <v>1</v>
      </c>
      <c r="AO310" s="3"/>
      <c r="AT310" t="b">
        <v>0</v>
      </c>
      <c r="AU310" t="s">
        <v>74</v>
      </c>
      <c r="AV310" t="b">
        <v>1</v>
      </c>
      <c r="AW310" t="b">
        <v>0</v>
      </c>
      <c r="AX310" s="5">
        <v>0</v>
      </c>
      <c r="AY310" s="3"/>
      <c r="AZ310" t="s">
        <v>67</v>
      </c>
      <c r="BA310" t="s">
        <v>67</v>
      </c>
      <c r="BB310" t="s">
        <v>317</v>
      </c>
    </row>
    <row r="311" spans="1:54" x14ac:dyDescent="0.3">
      <c r="A311">
        <v>1</v>
      </c>
      <c r="B311">
        <v>15</v>
      </c>
      <c r="C311" t="s">
        <v>54</v>
      </c>
      <c r="D311" s="3">
        <v>45545.494895833333</v>
      </c>
      <c r="E311" s="8">
        <v>45582</v>
      </c>
      <c r="F311" t="s">
        <v>1415</v>
      </c>
      <c r="G311" t="s">
        <v>56</v>
      </c>
      <c r="H311" t="s">
        <v>1416</v>
      </c>
      <c r="I311" t="s">
        <v>1417</v>
      </c>
      <c r="J311" t="s">
        <v>59</v>
      </c>
      <c r="L311" t="s">
        <v>217</v>
      </c>
      <c r="M311" t="s">
        <v>63</v>
      </c>
      <c r="O311" t="s">
        <v>121</v>
      </c>
      <c r="P311" t="s">
        <v>122</v>
      </c>
      <c r="Q311" s="5">
        <v>4</v>
      </c>
      <c r="R311" s="6">
        <v>53</v>
      </c>
      <c r="S311" s="6">
        <v>212</v>
      </c>
      <c r="T311" s="6">
        <v>132</v>
      </c>
      <c r="U311" s="3">
        <v>46456.208333333343</v>
      </c>
      <c r="W311" t="s">
        <v>1418</v>
      </c>
      <c r="X311" t="s">
        <v>70</v>
      </c>
      <c r="Y311" t="s">
        <v>23</v>
      </c>
      <c r="Z311" t="s">
        <v>69</v>
      </c>
      <c r="AA311" t="s">
        <v>69</v>
      </c>
      <c r="AB311" t="s">
        <v>67</v>
      </c>
      <c r="AC311" t="s">
        <v>70</v>
      </c>
      <c r="AD311" t="s">
        <v>71</v>
      </c>
      <c r="AF311" t="s">
        <v>67</v>
      </c>
      <c r="AH311" t="b">
        <v>0</v>
      </c>
      <c r="AI311" t="b">
        <v>0</v>
      </c>
      <c r="AJ311" t="b">
        <v>1</v>
      </c>
      <c r="AK311" t="b">
        <v>1</v>
      </c>
      <c r="AL311" s="6">
        <v>33</v>
      </c>
      <c r="AM311" s="3">
        <v>46280.270833333343</v>
      </c>
      <c r="AN311">
        <v>1</v>
      </c>
      <c r="AO311" s="3"/>
      <c r="AT311" t="b">
        <v>0</v>
      </c>
      <c r="AU311" t="s">
        <v>74</v>
      </c>
      <c r="AV311" t="b">
        <v>1</v>
      </c>
      <c r="AW311" t="b">
        <v>0</v>
      </c>
      <c r="AX311" s="5">
        <v>0</v>
      </c>
      <c r="AY311" s="3"/>
      <c r="AZ311" t="s">
        <v>67</v>
      </c>
      <c r="BA311" t="s">
        <v>67</v>
      </c>
      <c r="BB311" t="s">
        <v>317</v>
      </c>
    </row>
    <row r="312" spans="1:54" x14ac:dyDescent="0.3">
      <c r="A312">
        <v>1</v>
      </c>
      <c r="B312">
        <v>15</v>
      </c>
      <c r="C312" t="s">
        <v>54</v>
      </c>
      <c r="D312" s="3">
        <v>45545.499907407408</v>
      </c>
      <c r="E312" s="8">
        <v>45579</v>
      </c>
      <c r="F312" t="s">
        <v>1419</v>
      </c>
      <c r="G312" t="s">
        <v>56</v>
      </c>
      <c r="H312" t="s">
        <v>1416</v>
      </c>
      <c r="I312" t="s">
        <v>1417</v>
      </c>
      <c r="J312" t="s">
        <v>59</v>
      </c>
      <c r="L312" t="s">
        <v>217</v>
      </c>
      <c r="M312" t="s">
        <v>63</v>
      </c>
      <c r="O312" t="s">
        <v>121</v>
      </c>
      <c r="P312" t="s">
        <v>122</v>
      </c>
      <c r="Q312" s="5">
        <v>4</v>
      </c>
      <c r="R312" s="6">
        <v>53</v>
      </c>
      <c r="S312" s="6">
        <v>212</v>
      </c>
      <c r="T312" s="6">
        <v>132</v>
      </c>
      <c r="U312" s="3">
        <v>46456.208333333343</v>
      </c>
      <c r="W312" t="s">
        <v>1418</v>
      </c>
      <c r="X312" t="s">
        <v>70</v>
      </c>
      <c r="Y312" t="s">
        <v>23</v>
      </c>
      <c r="Z312" t="s">
        <v>69</v>
      </c>
      <c r="AA312" t="s">
        <v>69</v>
      </c>
      <c r="AB312" t="s">
        <v>67</v>
      </c>
      <c r="AC312" t="s">
        <v>70</v>
      </c>
      <c r="AD312" t="s">
        <v>71</v>
      </c>
      <c r="AF312" t="s">
        <v>67</v>
      </c>
      <c r="AH312" t="b">
        <v>0</v>
      </c>
      <c r="AI312" t="b">
        <v>0</v>
      </c>
      <c r="AJ312" t="b">
        <v>1</v>
      </c>
      <c r="AK312" t="b">
        <v>1</v>
      </c>
      <c r="AL312" s="6">
        <v>33</v>
      </c>
      <c r="AM312" s="3">
        <v>46280.270833333343</v>
      </c>
      <c r="AN312">
        <v>1</v>
      </c>
      <c r="AO312" s="3"/>
      <c r="AT312" t="b">
        <v>0</v>
      </c>
      <c r="AU312" t="s">
        <v>74</v>
      </c>
      <c r="AV312" t="b">
        <v>1</v>
      </c>
      <c r="AW312" t="b">
        <v>0</v>
      </c>
      <c r="AX312" s="5">
        <v>0</v>
      </c>
      <c r="AY312" s="3"/>
      <c r="AZ312" t="s">
        <v>67</v>
      </c>
      <c r="BA312" t="s">
        <v>67</v>
      </c>
      <c r="BB312" t="s">
        <v>317</v>
      </c>
    </row>
    <row r="313" spans="1:54" x14ac:dyDescent="0.3">
      <c r="A313">
        <v>1</v>
      </c>
      <c r="B313">
        <v>15</v>
      </c>
      <c r="C313" t="s">
        <v>54</v>
      </c>
      <c r="D313" s="3">
        <v>45545.499907407408</v>
      </c>
      <c r="E313" s="8">
        <v>45579</v>
      </c>
      <c r="F313" t="s">
        <v>1419</v>
      </c>
      <c r="G313" t="s">
        <v>56</v>
      </c>
      <c r="H313" t="s">
        <v>1416</v>
      </c>
      <c r="I313" t="s">
        <v>1417</v>
      </c>
      <c r="J313" t="s">
        <v>59</v>
      </c>
      <c r="L313" t="s">
        <v>217</v>
      </c>
      <c r="M313" t="s">
        <v>63</v>
      </c>
      <c r="O313" t="s">
        <v>903</v>
      </c>
      <c r="P313" t="s">
        <v>904</v>
      </c>
      <c r="Q313" s="5">
        <v>2</v>
      </c>
      <c r="R313" s="6">
        <v>173</v>
      </c>
      <c r="S313" s="6">
        <v>346</v>
      </c>
      <c r="T313" s="6">
        <v>216</v>
      </c>
      <c r="U313" s="3">
        <v>46456.208333333343</v>
      </c>
      <c r="W313" t="s">
        <v>1418</v>
      </c>
      <c r="X313" t="s">
        <v>70</v>
      </c>
      <c r="Y313" t="s">
        <v>23</v>
      </c>
      <c r="Z313" t="s">
        <v>69</v>
      </c>
      <c r="AA313" t="s">
        <v>69</v>
      </c>
      <c r="AB313" t="s">
        <v>67</v>
      </c>
      <c r="AC313" t="s">
        <v>70</v>
      </c>
      <c r="AD313" t="s">
        <v>71</v>
      </c>
      <c r="AE313" t="s">
        <v>102</v>
      </c>
      <c r="AF313" t="s">
        <v>67</v>
      </c>
      <c r="AH313" t="b">
        <v>0</v>
      </c>
      <c r="AI313" t="b">
        <v>0</v>
      </c>
      <c r="AJ313" t="b">
        <v>1</v>
      </c>
      <c r="AK313" t="b">
        <v>1</v>
      </c>
      <c r="AL313" s="6">
        <v>108</v>
      </c>
      <c r="AM313" s="3">
        <v>46280.270833333343</v>
      </c>
      <c r="AN313">
        <v>1</v>
      </c>
      <c r="AO313" s="3"/>
      <c r="AT313" t="b">
        <v>0</v>
      </c>
      <c r="AU313" t="s">
        <v>74</v>
      </c>
      <c r="AV313" t="b">
        <v>1</v>
      </c>
      <c r="AW313" t="b">
        <v>0</v>
      </c>
      <c r="AX313" s="5">
        <v>0</v>
      </c>
      <c r="AY313" s="3"/>
      <c r="AZ313" t="s">
        <v>67</v>
      </c>
      <c r="BA313" t="s">
        <v>67</v>
      </c>
      <c r="BB313" t="s">
        <v>317</v>
      </c>
    </row>
    <row r="314" spans="1:54" x14ac:dyDescent="0.3">
      <c r="A314">
        <v>1</v>
      </c>
      <c r="B314">
        <v>15</v>
      </c>
      <c r="C314" t="s">
        <v>54</v>
      </c>
      <c r="D314" s="3">
        <v>45569.423136574071</v>
      </c>
      <c r="E314" s="8">
        <v>45569</v>
      </c>
      <c r="F314" t="s">
        <v>1420</v>
      </c>
      <c r="G314" t="s">
        <v>56</v>
      </c>
      <c r="H314" t="s">
        <v>1421</v>
      </c>
      <c r="I314" t="s">
        <v>1422</v>
      </c>
      <c r="J314" t="s">
        <v>310</v>
      </c>
      <c r="K314" t="s">
        <v>991</v>
      </c>
      <c r="L314" t="s">
        <v>384</v>
      </c>
      <c r="M314" t="s">
        <v>312</v>
      </c>
      <c r="N314" t="s">
        <v>312</v>
      </c>
      <c r="O314" t="s">
        <v>313</v>
      </c>
      <c r="P314" t="s">
        <v>314</v>
      </c>
      <c r="Q314" s="5">
        <v>1</v>
      </c>
      <c r="R314" s="6">
        <v>100</v>
      </c>
      <c r="S314" s="6">
        <v>100</v>
      </c>
      <c r="T314" s="6">
        <v>0</v>
      </c>
      <c r="U314" s="3">
        <v>46207.291666666657</v>
      </c>
      <c r="W314" t="s">
        <v>1423</v>
      </c>
      <c r="X314" t="s">
        <v>70</v>
      </c>
      <c r="Y314" t="s">
        <v>23</v>
      </c>
      <c r="Z314" t="s">
        <v>69</v>
      </c>
      <c r="AA314" t="s">
        <v>69</v>
      </c>
      <c r="AB314" t="s">
        <v>67</v>
      </c>
      <c r="AC314" t="s">
        <v>70</v>
      </c>
      <c r="AD314" t="s">
        <v>316</v>
      </c>
      <c r="AE314" t="s">
        <v>102</v>
      </c>
      <c r="AF314" t="s">
        <v>67</v>
      </c>
      <c r="AH314" t="b">
        <v>1</v>
      </c>
      <c r="AI314" t="b">
        <v>1</v>
      </c>
      <c r="AJ314" t="b">
        <v>0</v>
      </c>
      <c r="AK314" t="b">
        <v>1</v>
      </c>
      <c r="AL314" s="6">
        <v>0</v>
      </c>
      <c r="AM314" s="3">
        <v>45632.458333333343</v>
      </c>
      <c r="AN314">
        <v>1</v>
      </c>
      <c r="AO314" s="3"/>
      <c r="AT314" t="b">
        <v>0</v>
      </c>
      <c r="AU314" t="s">
        <v>74</v>
      </c>
      <c r="AV314" t="b">
        <v>1</v>
      </c>
      <c r="AW314" t="b">
        <v>0</v>
      </c>
      <c r="AX314" s="5">
        <v>0</v>
      </c>
      <c r="AY314" s="3"/>
      <c r="AZ314" t="s">
        <v>67</v>
      </c>
      <c r="BA314" t="s">
        <v>67</v>
      </c>
      <c r="BB314" t="s">
        <v>317</v>
      </c>
    </row>
    <row r="315" spans="1:54" x14ac:dyDescent="0.3">
      <c r="A315">
        <v>1</v>
      </c>
      <c r="B315">
        <v>15</v>
      </c>
      <c r="C315" t="s">
        <v>54</v>
      </c>
      <c r="D315" s="3">
        <v>45569.423611111109</v>
      </c>
      <c r="E315" s="8">
        <v>45569</v>
      </c>
      <c r="F315" t="s">
        <v>1424</v>
      </c>
      <c r="G315" t="s">
        <v>56</v>
      </c>
      <c r="H315" t="s">
        <v>561</v>
      </c>
      <c r="I315" t="s">
        <v>562</v>
      </c>
      <c r="J315" t="s">
        <v>310</v>
      </c>
      <c r="K315" t="s">
        <v>447</v>
      </c>
      <c r="L315" t="s">
        <v>398</v>
      </c>
      <c r="M315" t="s">
        <v>312</v>
      </c>
      <c r="O315" t="s">
        <v>313</v>
      </c>
      <c r="P315" t="s">
        <v>314</v>
      </c>
      <c r="Q315" s="5">
        <v>1</v>
      </c>
      <c r="R315" s="6">
        <v>100</v>
      </c>
      <c r="S315" s="6">
        <v>100</v>
      </c>
      <c r="T315" s="6">
        <v>0</v>
      </c>
      <c r="U315" s="3">
        <v>45786.604166666657</v>
      </c>
      <c r="W315" t="s">
        <v>563</v>
      </c>
      <c r="X315" t="s">
        <v>70</v>
      </c>
      <c r="Y315" t="s">
        <v>23</v>
      </c>
      <c r="Z315" t="s">
        <v>69</v>
      </c>
      <c r="AA315" t="s">
        <v>69</v>
      </c>
      <c r="AB315" t="s">
        <v>67</v>
      </c>
      <c r="AC315" t="s">
        <v>70</v>
      </c>
      <c r="AD315" t="s">
        <v>316</v>
      </c>
      <c r="AE315" t="s">
        <v>102</v>
      </c>
      <c r="AF315" t="s">
        <v>67</v>
      </c>
      <c r="AH315" t="b">
        <v>1</v>
      </c>
      <c r="AI315" t="b">
        <v>1</v>
      </c>
      <c r="AJ315" t="b">
        <v>0</v>
      </c>
      <c r="AK315" t="b">
        <v>1</v>
      </c>
      <c r="AL315" s="6">
        <v>0</v>
      </c>
      <c r="AM315" s="3">
        <v>45786.479166666657</v>
      </c>
      <c r="AN315">
        <v>1</v>
      </c>
      <c r="AO315" s="3"/>
      <c r="AT315" t="b">
        <v>0</v>
      </c>
      <c r="AU315" t="s">
        <v>74</v>
      </c>
      <c r="AV315" t="b">
        <v>1</v>
      </c>
      <c r="AW315" t="b">
        <v>0</v>
      </c>
      <c r="AX315" s="5">
        <v>0</v>
      </c>
      <c r="AY315" s="3"/>
      <c r="AZ315" t="s">
        <v>67</v>
      </c>
      <c r="BA315" t="s">
        <v>67</v>
      </c>
      <c r="BB315" t="s">
        <v>317</v>
      </c>
    </row>
    <row r="316" spans="1:54" x14ac:dyDescent="0.3">
      <c r="A316">
        <v>1</v>
      </c>
      <c r="B316">
        <v>15</v>
      </c>
      <c r="C316" t="s">
        <v>54</v>
      </c>
      <c r="D316" s="3">
        <v>45579.408020833333</v>
      </c>
      <c r="E316" s="8">
        <v>45579</v>
      </c>
      <c r="F316" t="s">
        <v>1425</v>
      </c>
      <c r="G316" t="s">
        <v>56</v>
      </c>
      <c r="H316" t="s">
        <v>1426</v>
      </c>
      <c r="I316" t="s">
        <v>1427</v>
      </c>
      <c r="J316" t="s">
        <v>59</v>
      </c>
      <c r="K316" t="s">
        <v>1428</v>
      </c>
      <c r="L316" t="s">
        <v>699</v>
      </c>
      <c r="M316" t="s">
        <v>62</v>
      </c>
      <c r="N316" t="s">
        <v>62</v>
      </c>
      <c r="O316" t="s">
        <v>82</v>
      </c>
      <c r="P316" t="s">
        <v>83</v>
      </c>
      <c r="Q316" s="5">
        <v>1</v>
      </c>
      <c r="R316" s="6">
        <v>140</v>
      </c>
      <c r="S316" s="6">
        <v>140</v>
      </c>
      <c r="T316" s="6">
        <v>93.1</v>
      </c>
      <c r="U316" s="3">
        <v>46182.520833333343</v>
      </c>
      <c r="W316" t="s">
        <v>1429</v>
      </c>
      <c r="X316" t="s">
        <v>67</v>
      </c>
      <c r="Y316" t="s">
        <v>68</v>
      </c>
      <c r="Z316" t="s">
        <v>69</v>
      </c>
      <c r="AA316" t="s">
        <v>69</v>
      </c>
      <c r="AB316" t="s">
        <v>67</v>
      </c>
      <c r="AC316" t="s">
        <v>70</v>
      </c>
      <c r="AD316" t="s">
        <v>71</v>
      </c>
      <c r="AE316" t="s">
        <v>84</v>
      </c>
      <c r="AF316" t="s">
        <v>67</v>
      </c>
      <c r="AG316" t="s">
        <v>82</v>
      </c>
      <c r="AH316" t="b">
        <v>0</v>
      </c>
      <c r="AI316" t="b">
        <v>0</v>
      </c>
      <c r="AJ316" t="b">
        <v>1</v>
      </c>
      <c r="AK316" t="b">
        <v>0</v>
      </c>
      <c r="AL316" s="6">
        <v>93.1</v>
      </c>
      <c r="AM316" s="3">
        <v>46182.520833333343</v>
      </c>
      <c r="AN316">
        <v>1</v>
      </c>
      <c r="AO316" s="3"/>
      <c r="AT316" t="b">
        <v>0</v>
      </c>
      <c r="AU316" t="s">
        <v>74</v>
      </c>
      <c r="AV316" t="b">
        <v>1</v>
      </c>
      <c r="AW316" t="b">
        <v>0</v>
      </c>
      <c r="AX316" s="5">
        <v>0</v>
      </c>
      <c r="AY316" s="3"/>
      <c r="AZ316" t="s">
        <v>67</v>
      </c>
      <c r="BA316" t="s">
        <v>67</v>
      </c>
      <c r="BB316" t="s">
        <v>317</v>
      </c>
    </row>
    <row r="317" spans="1:54" x14ac:dyDescent="0.3">
      <c r="A317">
        <v>1</v>
      </c>
      <c r="B317">
        <v>15</v>
      </c>
      <c r="C317" t="s">
        <v>54</v>
      </c>
      <c r="D317" s="3">
        <v>45624.538726851853</v>
      </c>
      <c r="E317" s="8">
        <v>45624</v>
      </c>
      <c r="F317" t="s">
        <v>1430</v>
      </c>
      <c r="G317" t="s">
        <v>56</v>
      </c>
      <c r="H317" t="s">
        <v>1431</v>
      </c>
      <c r="I317" t="s">
        <v>1432</v>
      </c>
      <c r="J317" t="s">
        <v>363</v>
      </c>
      <c r="K317" t="s">
        <v>1032</v>
      </c>
      <c r="L317" t="s">
        <v>741</v>
      </c>
      <c r="M317" t="s">
        <v>366</v>
      </c>
      <c r="O317" t="s">
        <v>1433</v>
      </c>
      <c r="P317" t="s">
        <v>1434</v>
      </c>
      <c r="Q317" s="5">
        <v>1</v>
      </c>
      <c r="R317" s="6">
        <v>25</v>
      </c>
      <c r="S317" s="6">
        <v>25</v>
      </c>
      <c r="T317" s="6">
        <v>9.8800000000000008</v>
      </c>
      <c r="U317" s="3">
        <v>46288.479166666657</v>
      </c>
      <c r="W317" t="s">
        <v>1435</v>
      </c>
      <c r="X317" t="s">
        <v>67</v>
      </c>
      <c r="Y317" t="s">
        <v>68</v>
      </c>
      <c r="Z317" t="s">
        <v>521</v>
      </c>
      <c r="AA317" t="s">
        <v>522</v>
      </c>
      <c r="AB317" t="s">
        <v>70</v>
      </c>
      <c r="AC317" t="s">
        <v>70</v>
      </c>
      <c r="AD317" t="s">
        <v>745</v>
      </c>
      <c r="AE317" t="s">
        <v>371</v>
      </c>
      <c r="AF317" t="s">
        <v>67</v>
      </c>
      <c r="AG317" t="s">
        <v>1433</v>
      </c>
      <c r="AH317" t="b">
        <v>0</v>
      </c>
      <c r="AI317" t="b">
        <v>0</v>
      </c>
      <c r="AJ317" t="b">
        <v>0</v>
      </c>
      <c r="AK317" t="b">
        <v>0</v>
      </c>
      <c r="AL317" s="6">
        <v>9.8800000000000008</v>
      </c>
      <c r="AM317" s="3">
        <v>46288.479166666657</v>
      </c>
      <c r="AN317">
        <v>1</v>
      </c>
      <c r="AO317" s="3"/>
      <c r="AT317" t="b">
        <v>0</v>
      </c>
      <c r="AU317" t="s">
        <v>74</v>
      </c>
      <c r="AV317" t="b">
        <v>1</v>
      </c>
      <c r="AW317" t="b">
        <v>0</v>
      </c>
      <c r="AX317" s="5">
        <v>0</v>
      </c>
      <c r="AY317" s="3"/>
      <c r="AZ317" t="s">
        <v>67</v>
      </c>
      <c r="BA317" t="s">
        <v>67</v>
      </c>
      <c r="BB317" t="s">
        <v>317</v>
      </c>
    </row>
    <row r="318" spans="1:54" x14ac:dyDescent="0.3">
      <c r="A318">
        <v>1</v>
      </c>
      <c r="B318">
        <v>15</v>
      </c>
      <c r="C318" t="s">
        <v>54</v>
      </c>
      <c r="D318" s="3">
        <v>45630.622754629629</v>
      </c>
      <c r="E318" s="8">
        <v>45630</v>
      </c>
      <c r="F318" t="s">
        <v>1436</v>
      </c>
      <c r="G318" t="s">
        <v>56</v>
      </c>
      <c r="H318" t="s">
        <v>1437</v>
      </c>
      <c r="I318" t="s">
        <v>1438</v>
      </c>
      <c r="J318" t="s">
        <v>310</v>
      </c>
      <c r="K318" t="s">
        <v>1439</v>
      </c>
      <c r="L318" t="s">
        <v>398</v>
      </c>
      <c r="M318" t="s">
        <v>312</v>
      </c>
      <c r="O318" t="s">
        <v>313</v>
      </c>
      <c r="P318" t="s">
        <v>314</v>
      </c>
      <c r="Q318" s="5">
        <v>1</v>
      </c>
      <c r="R318" s="6">
        <v>100</v>
      </c>
      <c r="S318" s="6">
        <v>100</v>
      </c>
      <c r="T318" s="6">
        <v>0</v>
      </c>
      <c r="U318" s="3">
        <v>45786.291666666657</v>
      </c>
      <c r="W318" t="s">
        <v>1440</v>
      </c>
      <c r="X318" t="s">
        <v>70</v>
      </c>
      <c r="Y318" t="s">
        <v>23</v>
      </c>
      <c r="Z318" t="s">
        <v>69</v>
      </c>
      <c r="AA318" t="s">
        <v>69</v>
      </c>
      <c r="AB318" t="s">
        <v>67</v>
      </c>
      <c r="AC318" t="s">
        <v>70</v>
      </c>
      <c r="AD318" t="s">
        <v>316</v>
      </c>
      <c r="AE318" t="s">
        <v>102</v>
      </c>
      <c r="AF318" t="s">
        <v>67</v>
      </c>
      <c r="AH318" t="b">
        <v>1</v>
      </c>
      <c r="AI318" t="b">
        <v>1</v>
      </c>
      <c r="AJ318" t="b">
        <v>0</v>
      </c>
      <c r="AK318" t="b">
        <v>1</v>
      </c>
      <c r="AL318" s="6">
        <v>0</v>
      </c>
      <c r="AM318" s="3">
        <v>45630.479166666657</v>
      </c>
      <c r="AN318">
        <v>1</v>
      </c>
      <c r="AO318" s="3"/>
      <c r="AT318" t="b">
        <v>0</v>
      </c>
      <c r="AU318" t="s">
        <v>74</v>
      </c>
      <c r="AV318" t="b">
        <v>1</v>
      </c>
      <c r="AW318" t="b">
        <v>0</v>
      </c>
      <c r="AX318" s="5">
        <v>0</v>
      </c>
      <c r="AY318" s="3"/>
      <c r="AZ318" t="s">
        <v>67</v>
      </c>
      <c r="BA318" t="s">
        <v>67</v>
      </c>
      <c r="BB318" t="s">
        <v>317</v>
      </c>
    </row>
    <row r="319" spans="1:54" x14ac:dyDescent="0.3">
      <c r="A319">
        <v>1</v>
      </c>
      <c r="B319">
        <v>15</v>
      </c>
      <c r="C319" t="s">
        <v>54</v>
      </c>
      <c r="D319" s="3">
        <v>45631.368831018517</v>
      </c>
      <c r="E319" s="8">
        <v>45631</v>
      </c>
      <c r="F319" t="s">
        <v>1441</v>
      </c>
      <c r="G319" t="s">
        <v>56</v>
      </c>
      <c r="H319" t="s">
        <v>1442</v>
      </c>
      <c r="I319" t="s">
        <v>1443</v>
      </c>
      <c r="J319" t="s">
        <v>310</v>
      </c>
      <c r="L319" t="s">
        <v>398</v>
      </c>
      <c r="M319" t="s">
        <v>312</v>
      </c>
      <c r="O319" t="s">
        <v>313</v>
      </c>
      <c r="P319" t="s">
        <v>314</v>
      </c>
      <c r="Q319" s="5">
        <v>1</v>
      </c>
      <c r="R319" s="6">
        <v>100</v>
      </c>
      <c r="S319" s="6">
        <v>100</v>
      </c>
      <c r="T319" s="6">
        <v>0</v>
      </c>
      <c r="U319" s="3">
        <v>45835.511805555558</v>
      </c>
      <c r="W319" t="s">
        <v>1444</v>
      </c>
      <c r="X319" t="s">
        <v>70</v>
      </c>
      <c r="Y319" t="s">
        <v>23</v>
      </c>
      <c r="Z319" t="s">
        <v>69</v>
      </c>
      <c r="AA319" t="s">
        <v>69</v>
      </c>
      <c r="AB319" t="s">
        <v>70</v>
      </c>
      <c r="AC319" t="s">
        <v>70</v>
      </c>
      <c r="AD319" t="s">
        <v>316</v>
      </c>
      <c r="AE319" t="s">
        <v>102</v>
      </c>
      <c r="AF319" t="s">
        <v>67</v>
      </c>
      <c r="AH319" t="b">
        <v>0</v>
      </c>
      <c r="AI319" t="b">
        <v>1</v>
      </c>
      <c r="AJ319" t="b">
        <v>0</v>
      </c>
      <c r="AK319" t="b">
        <v>1</v>
      </c>
      <c r="AL319" s="6">
        <v>0</v>
      </c>
      <c r="AM319" s="3">
        <v>45717.208333333343</v>
      </c>
      <c r="AN319">
        <v>1</v>
      </c>
      <c r="AO319" s="3"/>
      <c r="AT319" t="b">
        <v>0</v>
      </c>
      <c r="AU319" t="s">
        <v>74</v>
      </c>
      <c r="AV319" t="b">
        <v>1</v>
      </c>
      <c r="AW319" t="b">
        <v>0</v>
      </c>
      <c r="AX319" s="5">
        <v>0</v>
      </c>
      <c r="AY319" s="3"/>
      <c r="AZ319" t="s">
        <v>67</v>
      </c>
      <c r="BA319" t="s">
        <v>67</v>
      </c>
      <c r="BB319" t="s">
        <v>317</v>
      </c>
    </row>
    <row r="320" spans="1:54" x14ac:dyDescent="0.3">
      <c r="A320">
        <v>1</v>
      </c>
      <c r="B320">
        <v>15</v>
      </c>
      <c r="C320" t="s">
        <v>54</v>
      </c>
      <c r="D320" s="3">
        <v>45631.386273148149</v>
      </c>
      <c r="E320" s="8">
        <v>45631</v>
      </c>
      <c r="F320" t="s">
        <v>1445</v>
      </c>
      <c r="G320" t="s">
        <v>56</v>
      </c>
      <c r="H320" t="s">
        <v>1446</v>
      </c>
      <c r="I320" t="s">
        <v>1447</v>
      </c>
      <c r="J320" t="s">
        <v>310</v>
      </c>
      <c r="K320" t="s">
        <v>353</v>
      </c>
      <c r="L320" t="s">
        <v>384</v>
      </c>
      <c r="M320" t="s">
        <v>312</v>
      </c>
      <c r="N320" t="s">
        <v>312</v>
      </c>
      <c r="O320" t="s">
        <v>313</v>
      </c>
      <c r="P320" t="s">
        <v>314</v>
      </c>
      <c r="Q320" s="5">
        <v>1</v>
      </c>
      <c r="R320" s="6">
        <v>100</v>
      </c>
      <c r="S320" s="6">
        <v>100</v>
      </c>
      <c r="T320" s="6">
        <v>0</v>
      </c>
      <c r="U320" s="3">
        <v>45667.208333333343</v>
      </c>
      <c r="W320" t="s">
        <v>1448</v>
      </c>
      <c r="X320" t="s">
        <v>70</v>
      </c>
      <c r="Y320" t="s">
        <v>23</v>
      </c>
      <c r="Z320" t="s">
        <v>69</v>
      </c>
      <c r="AA320" t="s">
        <v>69</v>
      </c>
      <c r="AB320" t="s">
        <v>67</v>
      </c>
      <c r="AC320" t="s">
        <v>70</v>
      </c>
      <c r="AD320" t="s">
        <v>316</v>
      </c>
      <c r="AE320" t="s">
        <v>102</v>
      </c>
      <c r="AF320" t="s">
        <v>67</v>
      </c>
      <c r="AH320" t="b">
        <v>1</v>
      </c>
      <c r="AI320" t="b">
        <v>1</v>
      </c>
      <c r="AJ320" t="b">
        <v>0</v>
      </c>
      <c r="AK320" t="b">
        <v>1</v>
      </c>
      <c r="AL320" s="6">
        <v>0</v>
      </c>
      <c r="AM320" s="3">
        <v>45667.208333333343</v>
      </c>
      <c r="AN320">
        <v>1</v>
      </c>
      <c r="AO320" s="3"/>
      <c r="AT320" t="b">
        <v>0</v>
      </c>
      <c r="AU320" t="s">
        <v>74</v>
      </c>
      <c r="AV320" t="b">
        <v>1</v>
      </c>
      <c r="AW320" t="b">
        <v>0</v>
      </c>
      <c r="AX320" s="5">
        <v>0</v>
      </c>
      <c r="AY320" s="3"/>
      <c r="AZ320" t="s">
        <v>67</v>
      </c>
      <c r="BA320" t="s">
        <v>67</v>
      </c>
      <c r="BB320" t="s">
        <v>317</v>
      </c>
    </row>
    <row r="321" spans="1:54" x14ac:dyDescent="0.3">
      <c r="A321">
        <v>1</v>
      </c>
      <c r="B321">
        <v>15</v>
      </c>
      <c r="C321" t="s">
        <v>54</v>
      </c>
      <c r="D321" s="3">
        <v>45632.620810185188</v>
      </c>
      <c r="E321" s="8">
        <v>45632</v>
      </c>
      <c r="F321" t="s">
        <v>1449</v>
      </c>
      <c r="G321" t="s">
        <v>56</v>
      </c>
      <c r="H321" t="s">
        <v>573</v>
      </c>
      <c r="I321" t="s">
        <v>574</v>
      </c>
      <c r="J321" t="s">
        <v>310</v>
      </c>
      <c r="K321" t="s">
        <v>321</v>
      </c>
      <c r="L321" t="s">
        <v>398</v>
      </c>
      <c r="M321" t="s">
        <v>312</v>
      </c>
      <c r="O321" t="s">
        <v>313</v>
      </c>
      <c r="P321" t="s">
        <v>314</v>
      </c>
      <c r="Q321" s="5">
        <v>1</v>
      </c>
      <c r="R321" s="6">
        <v>100</v>
      </c>
      <c r="S321" s="6">
        <v>100</v>
      </c>
      <c r="T321" s="6">
        <v>0</v>
      </c>
      <c r="U321" s="3">
        <v>45750.236111111109</v>
      </c>
      <c r="W321" t="s">
        <v>575</v>
      </c>
      <c r="X321" t="s">
        <v>70</v>
      </c>
      <c r="Y321" t="s">
        <v>23</v>
      </c>
      <c r="Z321" t="s">
        <v>69</v>
      </c>
      <c r="AA321" t="s">
        <v>69</v>
      </c>
      <c r="AB321" t="s">
        <v>70</v>
      </c>
      <c r="AC321" t="s">
        <v>70</v>
      </c>
      <c r="AD321" t="s">
        <v>316</v>
      </c>
      <c r="AE321" t="s">
        <v>102</v>
      </c>
      <c r="AF321" t="s">
        <v>67</v>
      </c>
      <c r="AH321" t="b">
        <v>1</v>
      </c>
      <c r="AI321" t="b">
        <v>1</v>
      </c>
      <c r="AJ321" t="b">
        <v>0</v>
      </c>
      <c r="AK321" t="b">
        <v>1</v>
      </c>
      <c r="AL321" s="6">
        <v>0</v>
      </c>
      <c r="AM321" s="3">
        <v>45750.236111111109</v>
      </c>
      <c r="AN321">
        <v>1</v>
      </c>
      <c r="AO321" s="3"/>
      <c r="AT321" t="b">
        <v>0</v>
      </c>
      <c r="AU321" t="s">
        <v>74</v>
      </c>
      <c r="AV321" t="b">
        <v>1</v>
      </c>
      <c r="AW321" t="b">
        <v>0</v>
      </c>
      <c r="AX321" s="5">
        <v>0</v>
      </c>
      <c r="AY321" s="3"/>
      <c r="AZ321" t="s">
        <v>67</v>
      </c>
      <c r="BA321" t="s">
        <v>67</v>
      </c>
      <c r="BB321" t="s">
        <v>317</v>
      </c>
    </row>
    <row r="322" spans="1:54" x14ac:dyDescent="0.3">
      <c r="A322">
        <v>1</v>
      </c>
      <c r="B322">
        <v>15</v>
      </c>
      <c r="C322" t="s">
        <v>54</v>
      </c>
      <c r="D322" s="3">
        <v>45636.35119212963</v>
      </c>
      <c r="E322" s="8">
        <v>45636</v>
      </c>
      <c r="F322" t="s">
        <v>1450</v>
      </c>
      <c r="G322" t="s">
        <v>56</v>
      </c>
      <c r="H322" t="s">
        <v>525</v>
      </c>
      <c r="I322" t="s">
        <v>526</v>
      </c>
      <c r="J322" t="s">
        <v>59</v>
      </c>
      <c r="L322" t="s">
        <v>217</v>
      </c>
      <c r="M322" t="s">
        <v>63</v>
      </c>
      <c r="O322" t="s">
        <v>228</v>
      </c>
      <c r="P322" t="s">
        <v>229</v>
      </c>
      <c r="Q322" s="5">
        <v>1</v>
      </c>
      <c r="R322" s="6">
        <v>135</v>
      </c>
      <c r="S322" s="6">
        <v>135</v>
      </c>
      <c r="T322" s="6">
        <v>90</v>
      </c>
      <c r="U322" s="3">
        <v>46001.229166666657</v>
      </c>
      <c r="W322" t="s">
        <v>527</v>
      </c>
      <c r="X322" t="s">
        <v>67</v>
      </c>
      <c r="Y322" t="s">
        <v>68</v>
      </c>
      <c r="Z322" t="s">
        <v>69</v>
      </c>
      <c r="AA322" t="s">
        <v>69</v>
      </c>
      <c r="AB322" t="s">
        <v>70</v>
      </c>
      <c r="AC322" t="s">
        <v>70</v>
      </c>
      <c r="AD322" t="s">
        <v>71</v>
      </c>
      <c r="AE322" t="s">
        <v>84</v>
      </c>
      <c r="AF322" t="s">
        <v>67</v>
      </c>
      <c r="AG322" t="s">
        <v>228</v>
      </c>
      <c r="AH322" t="b">
        <v>0</v>
      </c>
      <c r="AI322" t="b">
        <v>0</v>
      </c>
      <c r="AJ322" t="b">
        <v>0</v>
      </c>
      <c r="AK322" t="b">
        <v>0</v>
      </c>
      <c r="AL322" s="6">
        <v>90</v>
      </c>
      <c r="AM322" s="3">
        <v>46001.229166666657</v>
      </c>
      <c r="AN322">
        <v>1</v>
      </c>
      <c r="AO322" s="3"/>
      <c r="AT322" t="b">
        <v>0</v>
      </c>
      <c r="AU322" t="s">
        <v>74</v>
      </c>
      <c r="AV322" t="b">
        <v>1</v>
      </c>
      <c r="AW322" t="b">
        <v>0</v>
      </c>
      <c r="AX322" s="5">
        <v>0</v>
      </c>
      <c r="AY322" s="3"/>
      <c r="AZ322" t="s">
        <v>67</v>
      </c>
      <c r="BA322" t="s">
        <v>67</v>
      </c>
      <c r="BB322" t="s">
        <v>317</v>
      </c>
    </row>
    <row r="323" spans="1:54" x14ac:dyDescent="0.3">
      <c r="A323">
        <v>1</v>
      </c>
      <c r="B323">
        <v>15</v>
      </c>
      <c r="C323" t="s">
        <v>54</v>
      </c>
      <c r="D323" s="3">
        <v>45666.342511574083</v>
      </c>
      <c r="E323" s="8">
        <v>45666</v>
      </c>
      <c r="F323" t="s">
        <v>1451</v>
      </c>
      <c r="G323" t="s">
        <v>56</v>
      </c>
      <c r="H323" t="s">
        <v>1452</v>
      </c>
      <c r="I323" t="s">
        <v>1453</v>
      </c>
      <c r="J323" t="s">
        <v>310</v>
      </c>
      <c r="K323" t="s">
        <v>438</v>
      </c>
      <c r="L323" t="s">
        <v>384</v>
      </c>
      <c r="M323" t="s">
        <v>312</v>
      </c>
      <c r="N323" t="s">
        <v>312</v>
      </c>
      <c r="O323" t="s">
        <v>313</v>
      </c>
      <c r="P323" t="s">
        <v>314</v>
      </c>
      <c r="Q323" s="5">
        <v>1</v>
      </c>
      <c r="R323" s="6">
        <v>100</v>
      </c>
      <c r="S323" s="6">
        <v>100</v>
      </c>
      <c r="T323" s="6">
        <v>0</v>
      </c>
      <c r="U323" s="3">
        <v>45695.458333333343</v>
      </c>
      <c r="W323" t="s">
        <v>1454</v>
      </c>
      <c r="X323" t="s">
        <v>70</v>
      </c>
      <c r="Y323" t="s">
        <v>23</v>
      </c>
      <c r="Z323" t="s">
        <v>69</v>
      </c>
      <c r="AA323" t="s">
        <v>69</v>
      </c>
      <c r="AB323" t="s">
        <v>67</v>
      </c>
      <c r="AC323" t="s">
        <v>70</v>
      </c>
      <c r="AD323" t="s">
        <v>316</v>
      </c>
      <c r="AE323" t="s">
        <v>102</v>
      </c>
      <c r="AF323" t="s">
        <v>67</v>
      </c>
      <c r="AH323" t="b">
        <v>1</v>
      </c>
      <c r="AI323" t="b">
        <v>1</v>
      </c>
      <c r="AJ323" t="b">
        <v>0</v>
      </c>
      <c r="AK323" t="b">
        <v>1</v>
      </c>
      <c r="AL323" s="6">
        <v>0</v>
      </c>
      <c r="AM323" s="3">
        <v>45695.458333333343</v>
      </c>
      <c r="AN323">
        <v>1</v>
      </c>
      <c r="AO323" s="3"/>
      <c r="AT323" t="b">
        <v>0</v>
      </c>
      <c r="AU323" t="s">
        <v>74</v>
      </c>
      <c r="AV323" t="b">
        <v>1</v>
      </c>
      <c r="AW323" t="b">
        <v>0</v>
      </c>
      <c r="AX323" s="5">
        <v>0</v>
      </c>
      <c r="AY323" s="3"/>
      <c r="AZ323" t="s">
        <v>67</v>
      </c>
      <c r="BA323" t="s">
        <v>67</v>
      </c>
      <c r="BB323" t="s">
        <v>317</v>
      </c>
    </row>
    <row r="324" spans="1:54" x14ac:dyDescent="0.3">
      <c r="A324">
        <v>1</v>
      </c>
      <c r="B324">
        <v>15</v>
      </c>
      <c r="C324" t="s">
        <v>54</v>
      </c>
      <c r="D324" s="3">
        <v>45666.397905092592</v>
      </c>
      <c r="E324" s="8">
        <v>45666</v>
      </c>
      <c r="F324" t="s">
        <v>1455</v>
      </c>
      <c r="G324" t="s">
        <v>56</v>
      </c>
      <c r="H324" t="s">
        <v>1456</v>
      </c>
      <c r="I324" t="s">
        <v>1457</v>
      </c>
      <c r="J324" t="s">
        <v>310</v>
      </c>
      <c r="K324" t="s">
        <v>1458</v>
      </c>
      <c r="L324" t="s">
        <v>384</v>
      </c>
      <c r="M324" t="s">
        <v>312</v>
      </c>
      <c r="O324" t="s">
        <v>313</v>
      </c>
      <c r="P324" t="s">
        <v>314</v>
      </c>
      <c r="Q324" s="5">
        <v>1</v>
      </c>
      <c r="R324" s="6">
        <v>100</v>
      </c>
      <c r="S324" s="6">
        <v>100</v>
      </c>
      <c r="T324" s="6">
        <v>0</v>
      </c>
      <c r="U324" s="3">
        <v>46332.229166666657</v>
      </c>
      <c r="W324" t="s">
        <v>1459</v>
      </c>
      <c r="X324" t="s">
        <v>70</v>
      </c>
      <c r="Y324" t="s">
        <v>23</v>
      </c>
      <c r="Z324" t="s">
        <v>69</v>
      </c>
      <c r="AA324" t="s">
        <v>69</v>
      </c>
      <c r="AB324" t="s">
        <v>67</v>
      </c>
      <c r="AC324" t="s">
        <v>70</v>
      </c>
      <c r="AD324" t="s">
        <v>316</v>
      </c>
      <c r="AE324" t="s">
        <v>102</v>
      </c>
      <c r="AF324" t="s">
        <v>67</v>
      </c>
      <c r="AH324" t="b">
        <v>1</v>
      </c>
      <c r="AI324" t="b">
        <v>1</v>
      </c>
      <c r="AJ324" t="b">
        <v>0</v>
      </c>
      <c r="AK324" t="b">
        <v>1</v>
      </c>
      <c r="AL324" s="6">
        <v>0</v>
      </c>
      <c r="AM324" s="3">
        <v>45668.208333333343</v>
      </c>
      <c r="AN324">
        <v>1</v>
      </c>
      <c r="AO324" s="3"/>
      <c r="AT324" t="b">
        <v>0</v>
      </c>
      <c r="AU324" t="s">
        <v>74</v>
      </c>
      <c r="AV324" t="b">
        <v>1</v>
      </c>
      <c r="AW324" t="b">
        <v>0</v>
      </c>
      <c r="AX324" s="5">
        <v>0</v>
      </c>
      <c r="AY324" s="3"/>
      <c r="AZ324" t="s">
        <v>67</v>
      </c>
      <c r="BA324" t="s">
        <v>67</v>
      </c>
      <c r="BB324" t="s">
        <v>317</v>
      </c>
    </row>
    <row r="325" spans="1:54" x14ac:dyDescent="0.3">
      <c r="A325">
        <v>1</v>
      </c>
      <c r="B325">
        <v>15</v>
      </c>
      <c r="C325" t="s">
        <v>54</v>
      </c>
      <c r="D325" s="3">
        <v>45671.499212962961</v>
      </c>
      <c r="E325" s="8">
        <v>45699</v>
      </c>
      <c r="F325" t="s">
        <v>1460</v>
      </c>
      <c r="G325" t="s">
        <v>56</v>
      </c>
      <c r="H325" t="s">
        <v>516</v>
      </c>
      <c r="I325" t="s">
        <v>517</v>
      </c>
      <c r="J325" t="s">
        <v>59</v>
      </c>
      <c r="L325" t="s">
        <v>217</v>
      </c>
      <c r="M325" t="s">
        <v>63</v>
      </c>
      <c r="O325" t="s">
        <v>1132</v>
      </c>
      <c r="P325" t="s">
        <v>1133</v>
      </c>
      <c r="Q325" s="5">
        <v>2</v>
      </c>
      <c r="R325" s="6">
        <v>37</v>
      </c>
      <c r="S325" s="6">
        <v>74</v>
      </c>
      <c r="T325" s="6">
        <v>51.52</v>
      </c>
      <c r="U325" s="3">
        <v>46245.607638888891</v>
      </c>
      <c r="W325" t="s">
        <v>520</v>
      </c>
      <c r="X325" t="s">
        <v>67</v>
      </c>
      <c r="Y325" t="s">
        <v>68</v>
      </c>
      <c r="Z325" t="s">
        <v>521</v>
      </c>
      <c r="AA325" t="s">
        <v>522</v>
      </c>
      <c r="AB325" t="s">
        <v>70</v>
      </c>
      <c r="AC325" t="s">
        <v>70</v>
      </c>
      <c r="AD325" t="s">
        <v>71</v>
      </c>
      <c r="AE325" t="s">
        <v>220</v>
      </c>
      <c r="AF325" t="s">
        <v>67</v>
      </c>
      <c r="AG325" t="s">
        <v>1134</v>
      </c>
      <c r="AH325" t="b">
        <v>0</v>
      </c>
      <c r="AI325" t="b">
        <v>1</v>
      </c>
      <c r="AJ325" t="b">
        <v>1</v>
      </c>
      <c r="AK325" t="b">
        <v>1</v>
      </c>
      <c r="AL325" s="6">
        <v>25.76</v>
      </c>
      <c r="AM325" s="3">
        <v>46245.607638888891</v>
      </c>
      <c r="AN325">
        <v>1</v>
      </c>
      <c r="AO325" s="3"/>
      <c r="AT325" t="b">
        <v>0</v>
      </c>
      <c r="AU325" t="s">
        <v>74</v>
      </c>
      <c r="AV325" t="b">
        <v>1</v>
      </c>
      <c r="AW325" t="b">
        <v>0</v>
      </c>
      <c r="AX325" s="5">
        <v>0</v>
      </c>
      <c r="AY325" s="3"/>
      <c r="AZ325" t="s">
        <v>67</v>
      </c>
      <c r="BA325" t="s">
        <v>67</v>
      </c>
      <c r="BB325" t="s">
        <v>317</v>
      </c>
    </row>
    <row r="326" spans="1:54" x14ac:dyDescent="0.3">
      <c r="A326">
        <v>1</v>
      </c>
      <c r="B326">
        <v>15</v>
      </c>
      <c r="C326" t="s">
        <v>54</v>
      </c>
      <c r="D326" s="3">
        <v>45694.352152777778</v>
      </c>
      <c r="E326" s="8">
        <v>45694</v>
      </c>
      <c r="F326" t="s">
        <v>1461</v>
      </c>
      <c r="G326" t="s">
        <v>56</v>
      </c>
      <c r="H326" t="s">
        <v>473</v>
      </c>
      <c r="I326" t="s">
        <v>474</v>
      </c>
      <c r="J326" t="s">
        <v>310</v>
      </c>
      <c r="K326" t="s">
        <v>475</v>
      </c>
      <c r="L326" t="s">
        <v>384</v>
      </c>
      <c r="M326" t="s">
        <v>312</v>
      </c>
      <c r="N326" t="s">
        <v>312</v>
      </c>
      <c r="O326" t="s">
        <v>313</v>
      </c>
      <c r="P326" t="s">
        <v>314</v>
      </c>
      <c r="Q326" s="5">
        <v>1</v>
      </c>
      <c r="R326" s="6">
        <v>100</v>
      </c>
      <c r="S326" s="6">
        <v>100</v>
      </c>
      <c r="T326" s="6">
        <v>0</v>
      </c>
      <c r="U326" s="3">
        <v>45750.25</v>
      </c>
      <c r="W326" t="s">
        <v>476</v>
      </c>
      <c r="X326" t="s">
        <v>70</v>
      </c>
      <c r="Y326" t="s">
        <v>23</v>
      </c>
      <c r="Z326" t="s">
        <v>69</v>
      </c>
      <c r="AA326" t="s">
        <v>69</v>
      </c>
      <c r="AB326" t="s">
        <v>67</v>
      </c>
      <c r="AC326" t="s">
        <v>70</v>
      </c>
      <c r="AD326" t="s">
        <v>316</v>
      </c>
      <c r="AE326" t="s">
        <v>102</v>
      </c>
      <c r="AF326" t="s">
        <v>67</v>
      </c>
      <c r="AH326" t="b">
        <v>1</v>
      </c>
      <c r="AI326" t="b">
        <v>1</v>
      </c>
      <c r="AJ326" t="b">
        <v>0</v>
      </c>
      <c r="AK326" t="b">
        <v>1</v>
      </c>
      <c r="AL326" s="6">
        <v>0</v>
      </c>
      <c r="AM326" s="3">
        <v>45750.25</v>
      </c>
      <c r="AN326">
        <v>1</v>
      </c>
      <c r="AO326" s="3"/>
      <c r="AT326" t="b">
        <v>0</v>
      </c>
      <c r="AU326" t="s">
        <v>74</v>
      </c>
      <c r="AV326" t="b">
        <v>1</v>
      </c>
      <c r="AW326" t="b">
        <v>0</v>
      </c>
      <c r="AX326" s="5">
        <v>0</v>
      </c>
      <c r="AY326" s="3"/>
      <c r="AZ326" t="s">
        <v>67</v>
      </c>
      <c r="BA326" t="s">
        <v>67</v>
      </c>
      <c r="BB326" t="s">
        <v>317</v>
      </c>
    </row>
    <row r="327" spans="1:54" x14ac:dyDescent="0.3">
      <c r="A327">
        <v>1</v>
      </c>
      <c r="B327">
        <v>15</v>
      </c>
      <c r="C327" t="s">
        <v>54</v>
      </c>
      <c r="D327" s="3">
        <v>45695.375902777778</v>
      </c>
      <c r="E327" s="8">
        <v>45695</v>
      </c>
      <c r="F327" t="s">
        <v>1462</v>
      </c>
      <c r="G327" t="s">
        <v>56</v>
      </c>
      <c r="H327" t="s">
        <v>428</v>
      </c>
      <c r="I327" t="s">
        <v>429</v>
      </c>
      <c r="J327" t="s">
        <v>310</v>
      </c>
      <c r="L327" t="s">
        <v>384</v>
      </c>
      <c r="M327" t="s">
        <v>312</v>
      </c>
      <c r="N327" t="s">
        <v>312</v>
      </c>
      <c r="O327" t="s">
        <v>313</v>
      </c>
      <c r="P327" t="s">
        <v>314</v>
      </c>
      <c r="Q327" s="5">
        <v>1</v>
      </c>
      <c r="R327" s="6">
        <v>100</v>
      </c>
      <c r="S327" s="6">
        <v>100</v>
      </c>
      <c r="T327" s="6">
        <v>0</v>
      </c>
      <c r="U327" s="3">
        <v>46316.25</v>
      </c>
      <c r="W327" t="s">
        <v>430</v>
      </c>
      <c r="X327" t="s">
        <v>70</v>
      </c>
      <c r="Y327" t="s">
        <v>23</v>
      </c>
      <c r="Z327" t="s">
        <v>69</v>
      </c>
      <c r="AA327" t="s">
        <v>69</v>
      </c>
      <c r="AB327" t="s">
        <v>67</v>
      </c>
      <c r="AC327" t="s">
        <v>70</v>
      </c>
      <c r="AD327" t="s">
        <v>316</v>
      </c>
      <c r="AE327" t="s">
        <v>102</v>
      </c>
      <c r="AF327" t="s">
        <v>67</v>
      </c>
      <c r="AH327" t="b">
        <v>1</v>
      </c>
      <c r="AI327" t="b">
        <v>1</v>
      </c>
      <c r="AJ327" t="b">
        <v>0</v>
      </c>
      <c r="AK327" t="b">
        <v>1</v>
      </c>
      <c r="AL327" s="6">
        <v>0</v>
      </c>
      <c r="AM327" s="3">
        <v>45715.25</v>
      </c>
      <c r="AN327">
        <v>1</v>
      </c>
      <c r="AO327" s="3"/>
      <c r="AT327" t="b">
        <v>0</v>
      </c>
      <c r="AU327" t="s">
        <v>74</v>
      </c>
      <c r="AV327" t="b">
        <v>1</v>
      </c>
      <c r="AW327" t="b">
        <v>0</v>
      </c>
      <c r="AX327" s="5">
        <v>0</v>
      </c>
      <c r="AY327" s="3"/>
      <c r="AZ327" t="s">
        <v>67</v>
      </c>
      <c r="BA327" t="s">
        <v>67</v>
      </c>
      <c r="BB327" t="s">
        <v>317</v>
      </c>
    </row>
    <row r="328" spans="1:54" x14ac:dyDescent="0.3">
      <c r="A328">
        <v>1</v>
      </c>
      <c r="B328">
        <v>15</v>
      </c>
      <c r="C328" t="s">
        <v>54</v>
      </c>
      <c r="D328" s="3">
        <v>45695.391967592594</v>
      </c>
      <c r="E328" s="8">
        <v>45695</v>
      </c>
      <c r="F328" t="s">
        <v>1463</v>
      </c>
      <c r="G328" t="s">
        <v>56</v>
      </c>
      <c r="H328" t="s">
        <v>1464</v>
      </c>
      <c r="I328" t="s">
        <v>1465</v>
      </c>
      <c r="J328" t="s">
        <v>310</v>
      </c>
      <c r="K328" t="s">
        <v>447</v>
      </c>
      <c r="L328" t="s">
        <v>398</v>
      </c>
      <c r="M328" t="s">
        <v>312</v>
      </c>
      <c r="O328" t="s">
        <v>313</v>
      </c>
      <c r="P328" t="s">
        <v>314</v>
      </c>
      <c r="Q328" s="5">
        <v>1</v>
      </c>
      <c r="R328" s="6">
        <v>100</v>
      </c>
      <c r="S328" s="6">
        <v>100</v>
      </c>
      <c r="T328" s="6">
        <v>0</v>
      </c>
      <c r="U328" s="3">
        <v>45751.458333333343</v>
      </c>
      <c r="W328" t="s">
        <v>1466</v>
      </c>
      <c r="X328" t="s">
        <v>70</v>
      </c>
      <c r="Y328" t="s">
        <v>23</v>
      </c>
      <c r="Z328" t="s">
        <v>69</v>
      </c>
      <c r="AA328" t="s">
        <v>69</v>
      </c>
      <c r="AB328" t="s">
        <v>67</v>
      </c>
      <c r="AC328" t="s">
        <v>70</v>
      </c>
      <c r="AD328" t="s">
        <v>316</v>
      </c>
      <c r="AE328" t="s">
        <v>102</v>
      </c>
      <c r="AF328" t="s">
        <v>67</v>
      </c>
      <c r="AH328" t="b">
        <v>1</v>
      </c>
      <c r="AI328" t="b">
        <v>1</v>
      </c>
      <c r="AJ328" t="b">
        <v>0</v>
      </c>
      <c r="AK328" t="b">
        <v>1</v>
      </c>
      <c r="AL328" s="6">
        <v>0</v>
      </c>
      <c r="AM328" s="3">
        <v>45751.458333333343</v>
      </c>
      <c r="AN328">
        <v>1</v>
      </c>
      <c r="AO328" s="3"/>
      <c r="AT328" t="b">
        <v>0</v>
      </c>
      <c r="AU328" t="s">
        <v>74</v>
      </c>
      <c r="AV328" t="b">
        <v>1</v>
      </c>
      <c r="AW328" t="b">
        <v>0</v>
      </c>
      <c r="AX328" s="5">
        <v>0</v>
      </c>
      <c r="AY328" s="3"/>
      <c r="AZ328" t="s">
        <v>67</v>
      </c>
      <c r="BA328" t="s">
        <v>67</v>
      </c>
      <c r="BB328" t="s">
        <v>317</v>
      </c>
    </row>
    <row r="329" spans="1:54" x14ac:dyDescent="0.3">
      <c r="A329">
        <v>1</v>
      </c>
      <c r="B329">
        <v>15</v>
      </c>
      <c r="C329" t="s">
        <v>54</v>
      </c>
      <c r="D329" s="3">
        <v>45695.592418981483</v>
      </c>
      <c r="E329" s="8">
        <v>45695</v>
      </c>
      <c r="F329" t="s">
        <v>1467</v>
      </c>
      <c r="G329" t="s">
        <v>56</v>
      </c>
      <c r="H329" t="s">
        <v>1468</v>
      </c>
      <c r="I329" t="s">
        <v>1469</v>
      </c>
      <c r="J329" t="s">
        <v>310</v>
      </c>
      <c r="K329" t="s">
        <v>1470</v>
      </c>
      <c r="L329" t="s">
        <v>384</v>
      </c>
      <c r="M329" t="s">
        <v>312</v>
      </c>
      <c r="N329" t="s">
        <v>312</v>
      </c>
      <c r="O329" t="s">
        <v>313</v>
      </c>
      <c r="P329" t="s">
        <v>314</v>
      </c>
      <c r="Q329" s="5">
        <v>1</v>
      </c>
      <c r="R329" s="6">
        <v>100</v>
      </c>
      <c r="S329" s="6">
        <v>100</v>
      </c>
      <c r="T329" s="6">
        <v>0</v>
      </c>
      <c r="U329" s="3">
        <v>45834.354166666657</v>
      </c>
      <c r="W329" t="s">
        <v>1471</v>
      </c>
      <c r="X329" t="s">
        <v>70</v>
      </c>
      <c r="Y329" t="s">
        <v>23</v>
      </c>
      <c r="Z329" t="s">
        <v>69</v>
      </c>
      <c r="AA329" t="s">
        <v>69</v>
      </c>
      <c r="AB329" t="s">
        <v>67</v>
      </c>
      <c r="AC329" t="s">
        <v>70</v>
      </c>
      <c r="AD329" t="s">
        <v>316</v>
      </c>
      <c r="AE329" t="s">
        <v>102</v>
      </c>
      <c r="AF329" t="s">
        <v>67</v>
      </c>
      <c r="AH329" t="b">
        <v>1</v>
      </c>
      <c r="AI329" t="b">
        <v>0</v>
      </c>
      <c r="AJ329" t="b">
        <v>0</v>
      </c>
      <c r="AK329" t="b">
        <v>0</v>
      </c>
      <c r="AL329" s="6">
        <v>0</v>
      </c>
      <c r="AM329" s="3">
        <v>45786.458333333343</v>
      </c>
      <c r="AN329">
        <v>1</v>
      </c>
      <c r="AO329" s="3"/>
      <c r="AT329" t="b">
        <v>0</v>
      </c>
      <c r="AU329" t="s">
        <v>74</v>
      </c>
      <c r="AV329" t="b">
        <v>1</v>
      </c>
      <c r="AW329" t="b">
        <v>0</v>
      </c>
      <c r="AX329" s="5">
        <v>0</v>
      </c>
      <c r="AY329" s="3"/>
      <c r="AZ329" t="s">
        <v>67</v>
      </c>
      <c r="BA329" t="s">
        <v>67</v>
      </c>
      <c r="BB329" t="s">
        <v>317</v>
      </c>
    </row>
    <row r="330" spans="1:54" x14ac:dyDescent="0.3">
      <c r="A330">
        <v>1</v>
      </c>
      <c r="B330">
        <v>15</v>
      </c>
      <c r="C330" t="s">
        <v>54</v>
      </c>
      <c r="D330" s="3">
        <v>45695.688530092593</v>
      </c>
      <c r="E330" s="8">
        <v>45695</v>
      </c>
      <c r="F330" t="s">
        <v>1472</v>
      </c>
      <c r="G330" t="s">
        <v>56</v>
      </c>
      <c r="H330" t="s">
        <v>1473</v>
      </c>
      <c r="I330" t="s">
        <v>1474</v>
      </c>
      <c r="J330" t="s">
        <v>310</v>
      </c>
      <c r="L330" t="s">
        <v>384</v>
      </c>
      <c r="M330" t="s">
        <v>312</v>
      </c>
      <c r="O330" t="s">
        <v>313</v>
      </c>
      <c r="P330" t="s">
        <v>314</v>
      </c>
      <c r="Q330" s="5">
        <v>1</v>
      </c>
      <c r="R330" s="6">
        <v>100</v>
      </c>
      <c r="S330" s="6">
        <v>100</v>
      </c>
      <c r="T330" s="6">
        <v>0</v>
      </c>
      <c r="U330" s="3">
        <v>45889.25</v>
      </c>
      <c r="W330" t="s">
        <v>1475</v>
      </c>
      <c r="X330" t="s">
        <v>70</v>
      </c>
      <c r="Y330" t="s">
        <v>23</v>
      </c>
      <c r="Z330" t="s">
        <v>69</v>
      </c>
      <c r="AA330" t="s">
        <v>69</v>
      </c>
      <c r="AB330" t="s">
        <v>67</v>
      </c>
      <c r="AC330" t="s">
        <v>70</v>
      </c>
      <c r="AD330" t="s">
        <v>316</v>
      </c>
      <c r="AE330" t="s">
        <v>102</v>
      </c>
      <c r="AF330" t="s">
        <v>67</v>
      </c>
      <c r="AH330" t="b">
        <v>0</v>
      </c>
      <c r="AI330" t="b">
        <v>1</v>
      </c>
      <c r="AJ330" t="b">
        <v>0</v>
      </c>
      <c r="AK330" t="b">
        <v>1</v>
      </c>
      <c r="AL330" s="6">
        <v>0</v>
      </c>
      <c r="AM330" s="3"/>
      <c r="AN330">
        <v>1</v>
      </c>
      <c r="AO330" s="3"/>
      <c r="AT330" t="b">
        <v>0</v>
      </c>
      <c r="AU330" t="s">
        <v>74</v>
      </c>
      <c r="AV330" t="b">
        <v>1</v>
      </c>
      <c r="AW330" t="b">
        <v>0</v>
      </c>
      <c r="AX330" s="5">
        <v>0</v>
      </c>
      <c r="AY330" s="3"/>
      <c r="AZ330" t="s">
        <v>67</v>
      </c>
      <c r="BA330" t="s">
        <v>67</v>
      </c>
      <c r="BB330" t="s">
        <v>317</v>
      </c>
    </row>
    <row r="331" spans="1:54" x14ac:dyDescent="0.3">
      <c r="A331">
        <v>1</v>
      </c>
      <c r="B331">
        <v>15</v>
      </c>
      <c r="C331" t="s">
        <v>54</v>
      </c>
      <c r="D331" s="3">
        <v>45696.354814814818</v>
      </c>
      <c r="E331" s="8">
        <v>45716</v>
      </c>
      <c r="F331" t="s">
        <v>1476</v>
      </c>
      <c r="G331" t="s">
        <v>56</v>
      </c>
      <c r="H331" t="s">
        <v>577</v>
      </c>
      <c r="I331" t="s">
        <v>578</v>
      </c>
      <c r="J331" t="s">
        <v>310</v>
      </c>
      <c r="K331" t="s">
        <v>579</v>
      </c>
      <c r="L331" t="s">
        <v>398</v>
      </c>
      <c r="M331" t="s">
        <v>312</v>
      </c>
      <c r="O331" t="s">
        <v>313</v>
      </c>
      <c r="P331" t="s">
        <v>314</v>
      </c>
      <c r="Q331" s="5">
        <v>2</v>
      </c>
      <c r="R331" s="6">
        <v>100</v>
      </c>
      <c r="S331" s="6">
        <v>200</v>
      </c>
      <c r="T331" s="6">
        <v>0</v>
      </c>
      <c r="U331" s="3">
        <v>45800.465277777781</v>
      </c>
      <c r="W331" t="s">
        <v>580</v>
      </c>
      <c r="X331" t="s">
        <v>70</v>
      </c>
      <c r="Y331" t="s">
        <v>23</v>
      </c>
      <c r="Z331" t="s">
        <v>69</v>
      </c>
      <c r="AA331" t="s">
        <v>69</v>
      </c>
      <c r="AB331" t="s">
        <v>67</v>
      </c>
      <c r="AC331" t="s">
        <v>70</v>
      </c>
      <c r="AD331" t="s">
        <v>316</v>
      </c>
      <c r="AE331" t="s">
        <v>102</v>
      </c>
      <c r="AF331" t="s">
        <v>67</v>
      </c>
      <c r="AH331" t="b">
        <v>1</v>
      </c>
      <c r="AI331" t="b">
        <v>0</v>
      </c>
      <c r="AJ331" t="b">
        <v>0</v>
      </c>
      <c r="AK331" t="b">
        <v>0</v>
      </c>
      <c r="AL331" s="6">
        <v>0</v>
      </c>
      <c r="AM331" s="3">
        <v>45779.458333333343</v>
      </c>
      <c r="AN331">
        <v>1</v>
      </c>
      <c r="AO331" s="3"/>
      <c r="AT331" t="b">
        <v>0</v>
      </c>
      <c r="AU331" t="s">
        <v>74</v>
      </c>
      <c r="AV331" t="b">
        <v>1</v>
      </c>
      <c r="AW331" t="b">
        <v>0</v>
      </c>
      <c r="AX331" s="5">
        <v>0</v>
      </c>
      <c r="AY331" s="3"/>
      <c r="AZ331" t="s">
        <v>67</v>
      </c>
      <c r="BA331" t="s">
        <v>67</v>
      </c>
      <c r="BB331" t="s">
        <v>317</v>
      </c>
    </row>
    <row r="332" spans="1:54" x14ac:dyDescent="0.3">
      <c r="A332">
        <v>1</v>
      </c>
      <c r="B332">
        <v>15</v>
      </c>
      <c r="C332" t="s">
        <v>54</v>
      </c>
      <c r="D332" s="3">
        <v>45696.376539351862</v>
      </c>
      <c r="E332" s="8">
        <v>45750</v>
      </c>
      <c r="F332" t="s">
        <v>1477</v>
      </c>
      <c r="G332" t="s">
        <v>56</v>
      </c>
      <c r="H332" t="s">
        <v>1478</v>
      </c>
      <c r="I332" t="s">
        <v>1479</v>
      </c>
      <c r="J332" t="s">
        <v>310</v>
      </c>
      <c r="K332" t="s">
        <v>731</v>
      </c>
      <c r="L332" t="s">
        <v>384</v>
      </c>
      <c r="M332" t="s">
        <v>312</v>
      </c>
      <c r="N332" t="s">
        <v>312</v>
      </c>
      <c r="O332" t="s">
        <v>313</v>
      </c>
      <c r="P332" t="s">
        <v>314</v>
      </c>
      <c r="Q332" s="5">
        <v>1</v>
      </c>
      <c r="R332" s="6">
        <v>100</v>
      </c>
      <c r="S332" s="6">
        <v>100</v>
      </c>
      <c r="T332" s="6">
        <v>0</v>
      </c>
      <c r="U332" s="3">
        <v>46297.25</v>
      </c>
      <c r="W332" t="s">
        <v>1480</v>
      </c>
      <c r="X332" t="s">
        <v>70</v>
      </c>
      <c r="Y332" t="s">
        <v>23</v>
      </c>
      <c r="Z332" t="s">
        <v>69</v>
      </c>
      <c r="AA332" t="s">
        <v>69</v>
      </c>
      <c r="AB332" t="s">
        <v>70</v>
      </c>
      <c r="AC332" t="s">
        <v>70</v>
      </c>
      <c r="AD332" t="s">
        <v>316</v>
      </c>
      <c r="AE332" t="s">
        <v>102</v>
      </c>
      <c r="AF332" t="s">
        <v>67</v>
      </c>
      <c r="AH332" t="b">
        <v>1</v>
      </c>
      <c r="AI332" t="b">
        <v>1</v>
      </c>
      <c r="AJ332" t="b">
        <v>0</v>
      </c>
      <c r="AK332" t="b">
        <v>1</v>
      </c>
      <c r="AL332" s="6">
        <v>0</v>
      </c>
      <c r="AM332" s="3">
        <v>45750.208333333343</v>
      </c>
      <c r="AN332">
        <v>1</v>
      </c>
      <c r="AO332" s="3"/>
      <c r="AT332" t="b">
        <v>0</v>
      </c>
      <c r="AU332" t="s">
        <v>74</v>
      </c>
      <c r="AV332" t="b">
        <v>1</v>
      </c>
      <c r="AW332" t="b">
        <v>0</v>
      </c>
      <c r="AX332" s="5">
        <v>0</v>
      </c>
      <c r="AY332" s="3"/>
      <c r="AZ332" t="s">
        <v>67</v>
      </c>
      <c r="BA332" t="s">
        <v>67</v>
      </c>
      <c r="BB332" t="s">
        <v>317</v>
      </c>
    </row>
    <row r="333" spans="1:54" x14ac:dyDescent="0.3">
      <c r="A333">
        <v>1</v>
      </c>
      <c r="B333">
        <v>15</v>
      </c>
      <c r="C333" t="s">
        <v>54</v>
      </c>
      <c r="D333" s="3">
        <v>45699.499710648153</v>
      </c>
      <c r="E333" s="8">
        <v>45699</v>
      </c>
      <c r="F333" t="s">
        <v>1481</v>
      </c>
      <c r="G333" t="s">
        <v>56</v>
      </c>
      <c r="H333" t="s">
        <v>1482</v>
      </c>
      <c r="I333" t="s">
        <v>1483</v>
      </c>
      <c r="J333" t="s">
        <v>59</v>
      </c>
      <c r="L333" t="s">
        <v>699</v>
      </c>
      <c r="M333" t="s">
        <v>62</v>
      </c>
      <c r="N333" t="s">
        <v>63</v>
      </c>
      <c r="O333" t="s">
        <v>82</v>
      </c>
      <c r="P333" t="s">
        <v>83</v>
      </c>
      <c r="Q333" s="5">
        <v>2</v>
      </c>
      <c r="R333" s="6">
        <v>140</v>
      </c>
      <c r="S333" s="6">
        <v>280</v>
      </c>
      <c r="T333" s="6">
        <v>186.2</v>
      </c>
      <c r="U333" s="3">
        <v>46251.25</v>
      </c>
      <c r="W333" t="s">
        <v>1484</v>
      </c>
      <c r="X333" t="s">
        <v>67</v>
      </c>
      <c r="Y333" t="s">
        <v>68</v>
      </c>
      <c r="Z333" t="s">
        <v>1485</v>
      </c>
      <c r="AA333" t="s">
        <v>1486</v>
      </c>
      <c r="AB333" t="s">
        <v>67</v>
      </c>
      <c r="AC333" t="s">
        <v>70</v>
      </c>
      <c r="AD333" t="s">
        <v>71</v>
      </c>
      <c r="AE333" t="s">
        <v>84</v>
      </c>
      <c r="AF333" t="s">
        <v>67</v>
      </c>
      <c r="AG333" t="s">
        <v>82</v>
      </c>
      <c r="AH333" t="b">
        <v>0</v>
      </c>
      <c r="AI333" t="b">
        <v>0</v>
      </c>
      <c r="AJ333" t="b">
        <v>0</v>
      </c>
      <c r="AK333" t="b">
        <v>1</v>
      </c>
      <c r="AL333" s="6">
        <v>93.1</v>
      </c>
      <c r="AM333" s="3">
        <v>46125.458333333343</v>
      </c>
      <c r="AN333">
        <v>0</v>
      </c>
      <c r="AO333" s="3"/>
      <c r="AT333" t="b">
        <v>0</v>
      </c>
      <c r="AU333" t="s">
        <v>74</v>
      </c>
      <c r="AV333" t="b">
        <v>1</v>
      </c>
      <c r="AW333" t="b">
        <v>0</v>
      </c>
      <c r="AX333" s="5">
        <v>0</v>
      </c>
      <c r="AY333" s="3"/>
      <c r="AZ333" t="s">
        <v>67</v>
      </c>
      <c r="BA333" t="s">
        <v>67</v>
      </c>
      <c r="BB333" t="s">
        <v>317</v>
      </c>
    </row>
    <row r="334" spans="1:54" x14ac:dyDescent="0.3">
      <c r="A334">
        <v>1</v>
      </c>
      <c r="B334">
        <v>15</v>
      </c>
      <c r="C334" t="s">
        <v>54</v>
      </c>
      <c r="D334" s="3">
        <v>45699.499710648153</v>
      </c>
      <c r="E334" s="8">
        <v>45699</v>
      </c>
      <c r="F334" t="s">
        <v>1481</v>
      </c>
      <c r="G334" t="s">
        <v>56</v>
      </c>
      <c r="H334" t="s">
        <v>1482</v>
      </c>
      <c r="I334" t="s">
        <v>1483</v>
      </c>
      <c r="J334" t="s">
        <v>59</v>
      </c>
      <c r="L334" t="s">
        <v>699</v>
      </c>
      <c r="M334" t="s">
        <v>62</v>
      </c>
      <c r="N334" t="s">
        <v>63</v>
      </c>
      <c r="O334" t="s">
        <v>82</v>
      </c>
      <c r="P334" t="s">
        <v>83</v>
      </c>
      <c r="Q334" s="5">
        <v>2</v>
      </c>
      <c r="R334" s="6">
        <v>140</v>
      </c>
      <c r="S334" s="6">
        <v>280</v>
      </c>
      <c r="T334" s="6">
        <v>186.2</v>
      </c>
      <c r="U334" s="3">
        <v>46251.25</v>
      </c>
      <c r="W334" t="s">
        <v>1484</v>
      </c>
      <c r="X334" t="s">
        <v>67</v>
      </c>
      <c r="Y334" t="s">
        <v>68</v>
      </c>
      <c r="Z334" t="s">
        <v>1485</v>
      </c>
      <c r="AA334" t="s">
        <v>1486</v>
      </c>
      <c r="AB334" t="s">
        <v>67</v>
      </c>
      <c r="AC334" t="s">
        <v>70</v>
      </c>
      <c r="AD334" t="s">
        <v>71</v>
      </c>
      <c r="AE334" t="s">
        <v>84</v>
      </c>
      <c r="AF334" t="s">
        <v>67</v>
      </c>
      <c r="AG334" t="s">
        <v>82</v>
      </c>
      <c r="AH334" t="b">
        <v>0</v>
      </c>
      <c r="AI334" t="b">
        <v>0</v>
      </c>
      <c r="AJ334" t="b">
        <v>0</v>
      </c>
      <c r="AK334" t="b">
        <v>1</v>
      </c>
      <c r="AL334" s="6">
        <v>93.1</v>
      </c>
      <c r="AM334" s="3">
        <v>46125.458333333343</v>
      </c>
      <c r="AN334">
        <v>1</v>
      </c>
      <c r="AO334" s="3"/>
      <c r="AT334" t="b">
        <v>0</v>
      </c>
      <c r="AU334" t="s">
        <v>74</v>
      </c>
      <c r="AV334" t="b">
        <v>1</v>
      </c>
      <c r="AW334" t="b">
        <v>0</v>
      </c>
      <c r="AX334" s="5">
        <v>0</v>
      </c>
      <c r="AY334" s="3"/>
      <c r="AZ334" t="s">
        <v>67</v>
      </c>
      <c r="BA334" t="s">
        <v>67</v>
      </c>
      <c r="BB334" t="s">
        <v>317</v>
      </c>
    </row>
    <row r="335" spans="1:54" x14ac:dyDescent="0.3">
      <c r="A335">
        <v>1</v>
      </c>
      <c r="B335">
        <v>15</v>
      </c>
      <c r="C335" t="s">
        <v>54</v>
      </c>
      <c r="D335" s="3">
        <v>45699.499710648153</v>
      </c>
      <c r="E335" s="8">
        <v>45699</v>
      </c>
      <c r="F335" t="s">
        <v>1481</v>
      </c>
      <c r="G335" t="s">
        <v>56</v>
      </c>
      <c r="H335" t="s">
        <v>1482</v>
      </c>
      <c r="I335" t="s">
        <v>1483</v>
      </c>
      <c r="J335" t="s">
        <v>59</v>
      </c>
      <c r="L335" t="s">
        <v>699</v>
      </c>
      <c r="M335" t="s">
        <v>62</v>
      </c>
      <c r="N335" t="s">
        <v>63</v>
      </c>
      <c r="O335" t="s">
        <v>64</v>
      </c>
      <c r="P335" t="s">
        <v>65</v>
      </c>
      <c r="Q335" s="5">
        <v>1</v>
      </c>
      <c r="R335" s="6">
        <v>221</v>
      </c>
      <c r="S335" s="6">
        <v>221</v>
      </c>
      <c r="T335" s="6">
        <v>147</v>
      </c>
      <c r="U335" s="3">
        <v>46251.25</v>
      </c>
      <c r="W335" t="s">
        <v>1484</v>
      </c>
      <c r="X335" t="s">
        <v>67</v>
      </c>
      <c r="Y335" t="s">
        <v>68</v>
      </c>
      <c r="Z335" t="s">
        <v>1485</v>
      </c>
      <c r="AA335" t="s">
        <v>1486</v>
      </c>
      <c r="AB335" t="s">
        <v>67</v>
      </c>
      <c r="AC335" t="s">
        <v>70</v>
      </c>
      <c r="AD335" t="s">
        <v>71</v>
      </c>
      <c r="AE335" t="s">
        <v>72</v>
      </c>
      <c r="AF335" t="s">
        <v>67</v>
      </c>
      <c r="AG335" t="s">
        <v>73</v>
      </c>
      <c r="AH335" t="b">
        <v>0</v>
      </c>
      <c r="AI335" t="b">
        <v>0</v>
      </c>
      <c r="AJ335" t="b">
        <v>0</v>
      </c>
      <c r="AK335" t="b">
        <v>1</v>
      </c>
      <c r="AL335" s="6">
        <v>147</v>
      </c>
      <c r="AM335" s="3">
        <v>46125.458333333343</v>
      </c>
      <c r="AN335">
        <v>0</v>
      </c>
      <c r="AO335" s="3"/>
      <c r="AT335" t="b">
        <v>0</v>
      </c>
      <c r="AU335" t="s">
        <v>74</v>
      </c>
      <c r="AV335" t="b">
        <v>1</v>
      </c>
      <c r="AW335" t="b">
        <v>0</v>
      </c>
      <c r="AX335" s="5">
        <v>0</v>
      </c>
      <c r="AY335" s="3"/>
      <c r="AZ335" t="s">
        <v>67</v>
      </c>
      <c r="BA335" t="s">
        <v>67</v>
      </c>
      <c r="BB335" t="s">
        <v>317</v>
      </c>
    </row>
    <row r="336" spans="1:54" x14ac:dyDescent="0.3">
      <c r="A336">
        <v>1</v>
      </c>
      <c r="B336">
        <v>15</v>
      </c>
      <c r="C336" t="s">
        <v>54</v>
      </c>
      <c r="D336" s="3">
        <v>45699.499710648153</v>
      </c>
      <c r="E336" s="8">
        <v>45699</v>
      </c>
      <c r="F336" t="s">
        <v>1481</v>
      </c>
      <c r="G336" t="s">
        <v>56</v>
      </c>
      <c r="H336" t="s">
        <v>1482</v>
      </c>
      <c r="I336" t="s">
        <v>1483</v>
      </c>
      <c r="J336" t="s">
        <v>59</v>
      </c>
      <c r="L336" t="s">
        <v>699</v>
      </c>
      <c r="M336" t="s">
        <v>62</v>
      </c>
      <c r="N336" t="s">
        <v>63</v>
      </c>
      <c r="O336" t="s">
        <v>64</v>
      </c>
      <c r="P336" t="s">
        <v>65</v>
      </c>
      <c r="Q336" s="5">
        <v>1</v>
      </c>
      <c r="R336" s="6">
        <v>221</v>
      </c>
      <c r="S336" s="6">
        <v>221</v>
      </c>
      <c r="T336" s="6">
        <v>147</v>
      </c>
      <c r="U336" s="3">
        <v>46251.25</v>
      </c>
      <c r="W336" t="s">
        <v>1484</v>
      </c>
      <c r="X336" t="s">
        <v>67</v>
      </c>
      <c r="Y336" t="s">
        <v>68</v>
      </c>
      <c r="Z336" t="s">
        <v>1485</v>
      </c>
      <c r="AA336" t="s">
        <v>1486</v>
      </c>
      <c r="AB336" t="s">
        <v>67</v>
      </c>
      <c r="AC336" t="s">
        <v>70</v>
      </c>
      <c r="AD336" t="s">
        <v>71</v>
      </c>
      <c r="AE336" t="s">
        <v>72</v>
      </c>
      <c r="AF336" t="s">
        <v>67</v>
      </c>
      <c r="AG336" t="s">
        <v>73</v>
      </c>
      <c r="AH336" t="b">
        <v>0</v>
      </c>
      <c r="AI336" t="b">
        <v>0</v>
      </c>
      <c r="AJ336" t="b">
        <v>0</v>
      </c>
      <c r="AK336" t="b">
        <v>1</v>
      </c>
      <c r="AL336" s="6">
        <v>147</v>
      </c>
      <c r="AM336" s="3">
        <v>46125.458333333343</v>
      </c>
      <c r="AN336">
        <v>1</v>
      </c>
      <c r="AO336" s="3"/>
      <c r="AT336" t="b">
        <v>0</v>
      </c>
      <c r="AU336" t="s">
        <v>74</v>
      </c>
      <c r="AV336" t="b">
        <v>1</v>
      </c>
      <c r="AW336" t="b">
        <v>0</v>
      </c>
      <c r="AX336" s="5">
        <v>0</v>
      </c>
      <c r="AY336" s="3"/>
      <c r="AZ336" t="s">
        <v>67</v>
      </c>
      <c r="BA336" t="s">
        <v>67</v>
      </c>
      <c r="BB336" t="s">
        <v>317</v>
      </c>
    </row>
    <row r="337" spans="1:54" x14ac:dyDescent="0.3">
      <c r="A337">
        <v>1</v>
      </c>
      <c r="B337">
        <v>15</v>
      </c>
      <c r="C337" t="s">
        <v>54</v>
      </c>
      <c r="D337" s="3">
        <v>45699.499710648153</v>
      </c>
      <c r="E337" s="8">
        <v>45699</v>
      </c>
      <c r="F337" t="s">
        <v>1481</v>
      </c>
      <c r="G337" t="s">
        <v>56</v>
      </c>
      <c r="H337" t="s">
        <v>1482</v>
      </c>
      <c r="I337" t="s">
        <v>1483</v>
      </c>
      <c r="J337" t="s">
        <v>59</v>
      </c>
      <c r="L337" t="s">
        <v>699</v>
      </c>
      <c r="M337" t="s">
        <v>62</v>
      </c>
      <c r="N337" t="s">
        <v>63</v>
      </c>
      <c r="O337" t="s">
        <v>1141</v>
      </c>
      <c r="P337" t="s">
        <v>1142</v>
      </c>
      <c r="Q337" s="5">
        <v>2</v>
      </c>
      <c r="R337" s="6">
        <v>221</v>
      </c>
      <c r="S337" s="6">
        <v>442</v>
      </c>
      <c r="T337" s="6">
        <v>294</v>
      </c>
      <c r="U337" s="3">
        <v>46251.25</v>
      </c>
      <c r="W337" t="s">
        <v>1484</v>
      </c>
      <c r="X337" t="s">
        <v>67</v>
      </c>
      <c r="Y337" t="s">
        <v>68</v>
      </c>
      <c r="Z337" t="s">
        <v>1485</v>
      </c>
      <c r="AA337" t="s">
        <v>1486</v>
      </c>
      <c r="AB337" t="s">
        <v>67</v>
      </c>
      <c r="AC337" t="s">
        <v>70</v>
      </c>
      <c r="AD337" t="s">
        <v>71</v>
      </c>
      <c r="AE337" t="s">
        <v>72</v>
      </c>
      <c r="AF337" t="s">
        <v>67</v>
      </c>
      <c r="AG337" t="s">
        <v>1143</v>
      </c>
      <c r="AH337" t="b">
        <v>0</v>
      </c>
      <c r="AI337" t="b">
        <v>0</v>
      </c>
      <c r="AJ337" t="b">
        <v>0</v>
      </c>
      <c r="AK337" t="b">
        <v>1</v>
      </c>
      <c r="AL337" s="6">
        <v>147</v>
      </c>
      <c r="AM337" s="3">
        <v>46125.458333333343</v>
      </c>
      <c r="AN337">
        <v>0</v>
      </c>
      <c r="AO337" s="3"/>
      <c r="AT337" t="b">
        <v>0</v>
      </c>
      <c r="AU337" t="s">
        <v>74</v>
      </c>
      <c r="AV337" t="b">
        <v>1</v>
      </c>
      <c r="AW337" t="b">
        <v>0</v>
      </c>
      <c r="AX337" s="5">
        <v>0</v>
      </c>
      <c r="AY337" s="3"/>
      <c r="AZ337" t="s">
        <v>67</v>
      </c>
      <c r="BA337" t="s">
        <v>67</v>
      </c>
      <c r="BB337" t="s">
        <v>317</v>
      </c>
    </row>
    <row r="338" spans="1:54" x14ac:dyDescent="0.3">
      <c r="A338">
        <v>1</v>
      </c>
      <c r="B338">
        <v>15</v>
      </c>
      <c r="C338" t="s">
        <v>54</v>
      </c>
      <c r="D338" s="3">
        <v>45699.499710648153</v>
      </c>
      <c r="E338" s="8">
        <v>45699</v>
      </c>
      <c r="F338" t="s">
        <v>1481</v>
      </c>
      <c r="G338" t="s">
        <v>56</v>
      </c>
      <c r="H338" t="s">
        <v>1482</v>
      </c>
      <c r="I338" t="s">
        <v>1483</v>
      </c>
      <c r="J338" t="s">
        <v>59</v>
      </c>
      <c r="L338" t="s">
        <v>699</v>
      </c>
      <c r="M338" t="s">
        <v>62</v>
      </c>
      <c r="N338" t="s">
        <v>63</v>
      </c>
      <c r="O338" t="s">
        <v>1141</v>
      </c>
      <c r="P338" t="s">
        <v>1142</v>
      </c>
      <c r="Q338" s="5">
        <v>2</v>
      </c>
      <c r="R338" s="6">
        <v>221</v>
      </c>
      <c r="S338" s="6">
        <v>442</v>
      </c>
      <c r="T338" s="6">
        <v>294</v>
      </c>
      <c r="U338" s="3">
        <v>46251.25</v>
      </c>
      <c r="W338" t="s">
        <v>1484</v>
      </c>
      <c r="X338" t="s">
        <v>67</v>
      </c>
      <c r="Y338" t="s">
        <v>68</v>
      </c>
      <c r="Z338" t="s">
        <v>1485</v>
      </c>
      <c r="AA338" t="s">
        <v>1486</v>
      </c>
      <c r="AB338" t="s">
        <v>67</v>
      </c>
      <c r="AC338" t="s">
        <v>70</v>
      </c>
      <c r="AD338" t="s">
        <v>71</v>
      </c>
      <c r="AE338" t="s">
        <v>72</v>
      </c>
      <c r="AF338" t="s">
        <v>67</v>
      </c>
      <c r="AG338" t="s">
        <v>1143</v>
      </c>
      <c r="AH338" t="b">
        <v>0</v>
      </c>
      <c r="AI338" t="b">
        <v>0</v>
      </c>
      <c r="AJ338" t="b">
        <v>0</v>
      </c>
      <c r="AK338" t="b">
        <v>1</v>
      </c>
      <c r="AL338" s="6">
        <v>147</v>
      </c>
      <c r="AM338" s="3">
        <v>46125.458333333343</v>
      </c>
      <c r="AN338">
        <v>1</v>
      </c>
      <c r="AO338" s="3"/>
      <c r="AT338" t="b">
        <v>0</v>
      </c>
      <c r="AU338" t="s">
        <v>74</v>
      </c>
      <c r="AV338" t="b">
        <v>1</v>
      </c>
      <c r="AW338" t="b">
        <v>0</v>
      </c>
      <c r="AX338" s="5">
        <v>0</v>
      </c>
      <c r="AY338" s="3"/>
      <c r="AZ338" t="s">
        <v>67</v>
      </c>
      <c r="BA338" t="s">
        <v>67</v>
      </c>
      <c r="BB338" t="s">
        <v>317</v>
      </c>
    </row>
    <row r="339" spans="1:54" x14ac:dyDescent="0.3">
      <c r="A339">
        <v>1</v>
      </c>
      <c r="B339">
        <v>15</v>
      </c>
      <c r="C339" t="s">
        <v>54</v>
      </c>
      <c r="D339" s="3">
        <v>45699.499710648153</v>
      </c>
      <c r="E339" s="8">
        <v>45699</v>
      </c>
      <c r="F339" t="s">
        <v>1481</v>
      </c>
      <c r="G339" t="s">
        <v>56</v>
      </c>
      <c r="H339" t="s">
        <v>1482</v>
      </c>
      <c r="I339" t="s">
        <v>1483</v>
      </c>
      <c r="J339" t="s">
        <v>59</v>
      </c>
      <c r="L339" t="s">
        <v>699</v>
      </c>
      <c r="M339" t="s">
        <v>62</v>
      </c>
      <c r="N339" t="s">
        <v>63</v>
      </c>
      <c r="O339" t="s">
        <v>239</v>
      </c>
      <c r="P339" t="s">
        <v>240</v>
      </c>
      <c r="Q339" s="5">
        <v>3</v>
      </c>
      <c r="R339" s="6">
        <v>660</v>
      </c>
      <c r="S339" s="6">
        <v>1980</v>
      </c>
      <c r="T339" s="6">
        <v>1320</v>
      </c>
      <c r="U339" s="3">
        <v>46251.25</v>
      </c>
      <c r="W339" t="s">
        <v>1484</v>
      </c>
      <c r="X339" t="s">
        <v>67</v>
      </c>
      <c r="Y339" t="s">
        <v>68</v>
      </c>
      <c r="Z339" t="s">
        <v>1485</v>
      </c>
      <c r="AA339" t="s">
        <v>1486</v>
      </c>
      <c r="AB339" t="s">
        <v>67</v>
      </c>
      <c r="AC339" t="s">
        <v>70</v>
      </c>
      <c r="AD339" t="s">
        <v>71</v>
      </c>
      <c r="AE339" t="s">
        <v>242</v>
      </c>
      <c r="AF339" t="s">
        <v>67</v>
      </c>
      <c r="AG339" t="s">
        <v>243</v>
      </c>
      <c r="AH339" t="b">
        <v>0</v>
      </c>
      <c r="AI339" t="b">
        <v>0</v>
      </c>
      <c r="AJ339" t="b">
        <v>0</v>
      </c>
      <c r="AK339" t="b">
        <v>1</v>
      </c>
      <c r="AL339" s="6">
        <v>440</v>
      </c>
      <c r="AM339" s="3">
        <v>46125.458333333343</v>
      </c>
      <c r="AN339">
        <v>0</v>
      </c>
      <c r="AO339" s="3"/>
      <c r="AT339" t="b">
        <v>0</v>
      </c>
      <c r="AU339" t="s">
        <v>74</v>
      </c>
      <c r="AV339" t="b">
        <v>1</v>
      </c>
      <c r="AW339" t="b">
        <v>0</v>
      </c>
      <c r="AX339" s="5">
        <v>0</v>
      </c>
      <c r="AY339" s="3"/>
      <c r="AZ339" t="s">
        <v>67</v>
      </c>
      <c r="BA339" t="s">
        <v>67</v>
      </c>
      <c r="BB339" t="s">
        <v>317</v>
      </c>
    </row>
    <row r="340" spans="1:54" x14ac:dyDescent="0.3">
      <c r="A340">
        <v>1</v>
      </c>
      <c r="B340">
        <v>15</v>
      </c>
      <c r="C340" t="s">
        <v>54</v>
      </c>
      <c r="D340" s="3">
        <v>45699.499710648153</v>
      </c>
      <c r="E340" s="8">
        <v>45699</v>
      </c>
      <c r="F340" t="s">
        <v>1481</v>
      </c>
      <c r="G340" t="s">
        <v>56</v>
      </c>
      <c r="H340" t="s">
        <v>1482</v>
      </c>
      <c r="I340" t="s">
        <v>1483</v>
      </c>
      <c r="J340" t="s">
        <v>59</v>
      </c>
      <c r="L340" t="s">
        <v>699</v>
      </c>
      <c r="M340" t="s">
        <v>62</v>
      </c>
      <c r="N340" t="s">
        <v>63</v>
      </c>
      <c r="O340" t="s">
        <v>239</v>
      </c>
      <c r="P340" t="s">
        <v>240</v>
      </c>
      <c r="Q340" s="5">
        <v>3</v>
      </c>
      <c r="R340" s="6">
        <v>660</v>
      </c>
      <c r="S340" s="6">
        <v>1980</v>
      </c>
      <c r="T340" s="6">
        <v>1320</v>
      </c>
      <c r="U340" s="3">
        <v>46251.25</v>
      </c>
      <c r="W340" t="s">
        <v>1484</v>
      </c>
      <c r="X340" t="s">
        <v>67</v>
      </c>
      <c r="Y340" t="s">
        <v>68</v>
      </c>
      <c r="Z340" t="s">
        <v>1485</v>
      </c>
      <c r="AA340" t="s">
        <v>1486</v>
      </c>
      <c r="AB340" t="s">
        <v>67</v>
      </c>
      <c r="AC340" t="s">
        <v>70</v>
      </c>
      <c r="AD340" t="s">
        <v>71</v>
      </c>
      <c r="AE340" t="s">
        <v>242</v>
      </c>
      <c r="AF340" t="s">
        <v>67</v>
      </c>
      <c r="AG340" t="s">
        <v>243</v>
      </c>
      <c r="AH340" t="b">
        <v>0</v>
      </c>
      <c r="AI340" t="b">
        <v>0</v>
      </c>
      <c r="AJ340" t="b">
        <v>0</v>
      </c>
      <c r="AK340" t="b">
        <v>1</v>
      </c>
      <c r="AL340" s="6">
        <v>440</v>
      </c>
      <c r="AM340" s="3">
        <v>46125.458333333343</v>
      </c>
      <c r="AN340">
        <v>1</v>
      </c>
      <c r="AO340" s="3"/>
      <c r="AT340" t="b">
        <v>0</v>
      </c>
      <c r="AU340" t="s">
        <v>74</v>
      </c>
      <c r="AV340" t="b">
        <v>1</v>
      </c>
      <c r="AW340" t="b">
        <v>0</v>
      </c>
      <c r="AX340" s="5">
        <v>0</v>
      </c>
      <c r="AY340" s="3"/>
      <c r="AZ340" t="s">
        <v>67</v>
      </c>
      <c r="BA340" t="s">
        <v>67</v>
      </c>
      <c r="BB340" t="s">
        <v>317</v>
      </c>
    </row>
    <row r="341" spans="1:54" x14ac:dyDescent="0.3">
      <c r="A341">
        <v>1</v>
      </c>
      <c r="B341">
        <v>15</v>
      </c>
      <c r="C341" t="s">
        <v>54</v>
      </c>
      <c r="D341" s="3">
        <v>45699.499710648153</v>
      </c>
      <c r="E341" s="8">
        <v>45699</v>
      </c>
      <c r="F341" t="s">
        <v>1481</v>
      </c>
      <c r="G341" t="s">
        <v>56</v>
      </c>
      <c r="H341" t="s">
        <v>1482</v>
      </c>
      <c r="I341" t="s">
        <v>1483</v>
      </c>
      <c r="J341" t="s">
        <v>59</v>
      </c>
      <c r="L341" t="s">
        <v>699</v>
      </c>
      <c r="M341" t="s">
        <v>62</v>
      </c>
      <c r="N341" t="s">
        <v>63</v>
      </c>
      <c r="O341" t="s">
        <v>1487</v>
      </c>
      <c r="P341" t="s">
        <v>1488</v>
      </c>
      <c r="Q341" s="5">
        <v>1</v>
      </c>
      <c r="R341" s="6">
        <v>520</v>
      </c>
      <c r="S341" s="6">
        <v>520</v>
      </c>
      <c r="T341" s="6">
        <v>63.25</v>
      </c>
      <c r="U341" s="3">
        <v>46251.25</v>
      </c>
      <c r="W341" t="s">
        <v>1484</v>
      </c>
      <c r="X341" t="s">
        <v>67</v>
      </c>
      <c r="Y341" t="s">
        <v>68</v>
      </c>
      <c r="Z341" t="s">
        <v>1485</v>
      </c>
      <c r="AA341" t="s">
        <v>1486</v>
      </c>
      <c r="AB341" t="s">
        <v>67</v>
      </c>
      <c r="AC341" t="s">
        <v>70</v>
      </c>
      <c r="AD341" t="s">
        <v>71</v>
      </c>
      <c r="AE341" t="s">
        <v>220</v>
      </c>
      <c r="AF341" t="s">
        <v>67</v>
      </c>
      <c r="AG341" t="s">
        <v>1489</v>
      </c>
      <c r="AH341" t="b">
        <v>0</v>
      </c>
      <c r="AI341" t="b">
        <v>0</v>
      </c>
      <c r="AJ341" t="b">
        <v>0</v>
      </c>
      <c r="AK341" t="b">
        <v>1</v>
      </c>
      <c r="AL341" s="6">
        <v>63.25</v>
      </c>
      <c r="AM341" s="3">
        <v>46125.458333333343</v>
      </c>
      <c r="AN341">
        <v>0</v>
      </c>
      <c r="AO341" s="3"/>
      <c r="AT341" t="b">
        <v>0</v>
      </c>
      <c r="AU341" t="s">
        <v>74</v>
      </c>
      <c r="AV341" t="b">
        <v>1</v>
      </c>
      <c r="AW341" t="b">
        <v>0</v>
      </c>
      <c r="AX341" s="5">
        <v>0</v>
      </c>
      <c r="AY341" s="3"/>
      <c r="AZ341" t="s">
        <v>67</v>
      </c>
      <c r="BA341" t="s">
        <v>67</v>
      </c>
      <c r="BB341" t="s">
        <v>317</v>
      </c>
    </row>
    <row r="342" spans="1:54" x14ac:dyDescent="0.3">
      <c r="A342">
        <v>1</v>
      </c>
      <c r="B342">
        <v>15</v>
      </c>
      <c r="C342" t="s">
        <v>54</v>
      </c>
      <c r="D342" s="3">
        <v>45699.499710648153</v>
      </c>
      <c r="E342" s="8">
        <v>45699</v>
      </c>
      <c r="F342" t="s">
        <v>1481</v>
      </c>
      <c r="G342" t="s">
        <v>56</v>
      </c>
      <c r="H342" t="s">
        <v>1482</v>
      </c>
      <c r="I342" t="s">
        <v>1483</v>
      </c>
      <c r="J342" t="s">
        <v>59</v>
      </c>
      <c r="L342" t="s">
        <v>699</v>
      </c>
      <c r="M342" t="s">
        <v>62</v>
      </c>
      <c r="N342" t="s">
        <v>63</v>
      </c>
      <c r="O342" t="s">
        <v>1487</v>
      </c>
      <c r="P342" t="s">
        <v>1488</v>
      </c>
      <c r="Q342" s="5">
        <v>1</v>
      </c>
      <c r="R342" s="6">
        <v>520</v>
      </c>
      <c r="S342" s="6">
        <v>520</v>
      </c>
      <c r="T342" s="6">
        <v>63.25</v>
      </c>
      <c r="U342" s="3">
        <v>46251.25</v>
      </c>
      <c r="W342" t="s">
        <v>1484</v>
      </c>
      <c r="X342" t="s">
        <v>67</v>
      </c>
      <c r="Y342" t="s">
        <v>68</v>
      </c>
      <c r="Z342" t="s">
        <v>1485</v>
      </c>
      <c r="AA342" t="s">
        <v>1486</v>
      </c>
      <c r="AB342" t="s">
        <v>67</v>
      </c>
      <c r="AC342" t="s">
        <v>70</v>
      </c>
      <c r="AD342" t="s">
        <v>71</v>
      </c>
      <c r="AE342" t="s">
        <v>220</v>
      </c>
      <c r="AF342" t="s">
        <v>67</v>
      </c>
      <c r="AG342" t="s">
        <v>1489</v>
      </c>
      <c r="AH342" t="b">
        <v>0</v>
      </c>
      <c r="AI342" t="b">
        <v>0</v>
      </c>
      <c r="AJ342" t="b">
        <v>0</v>
      </c>
      <c r="AK342" t="b">
        <v>1</v>
      </c>
      <c r="AL342" s="6">
        <v>63.25</v>
      </c>
      <c r="AM342" s="3">
        <v>46125.458333333343</v>
      </c>
      <c r="AN342">
        <v>1</v>
      </c>
      <c r="AO342" s="3"/>
      <c r="AT342" t="b">
        <v>0</v>
      </c>
      <c r="AU342" t="s">
        <v>74</v>
      </c>
      <c r="AV342" t="b">
        <v>1</v>
      </c>
      <c r="AW342" t="b">
        <v>0</v>
      </c>
      <c r="AX342" s="5">
        <v>0</v>
      </c>
      <c r="AY342" s="3"/>
      <c r="AZ342" t="s">
        <v>67</v>
      </c>
      <c r="BA342" t="s">
        <v>67</v>
      </c>
      <c r="BB342" t="s">
        <v>317</v>
      </c>
    </row>
    <row r="343" spans="1:54" x14ac:dyDescent="0.3">
      <c r="A343">
        <v>1</v>
      </c>
      <c r="B343">
        <v>15</v>
      </c>
      <c r="C343" t="s">
        <v>54</v>
      </c>
      <c r="D343" s="3">
        <v>45699.499710648153</v>
      </c>
      <c r="E343" s="8">
        <v>45699</v>
      </c>
      <c r="F343" t="s">
        <v>1481</v>
      </c>
      <c r="G343" t="s">
        <v>56</v>
      </c>
      <c r="H343" t="s">
        <v>1482</v>
      </c>
      <c r="I343" t="s">
        <v>1483</v>
      </c>
      <c r="J343" t="s">
        <v>59</v>
      </c>
      <c r="L343" t="s">
        <v>699</v>
      </c>
      <c r="M343" t="s">
        <v>62</v>
      </c>
      <c r="N343" t="s">
        <v>63</v>
      </c>
      <c r="O343" t="s">
        <v>1490</v>
      </c>
      <c r="P343" t="s">
        <v>1491</v>
      </c>
      <c r="Q343" s="5">
        <v>1</v>
      </c>
      <c r="R343" s="6">
        <v>133</v>
      </c>
      <c r="S343" s="6">
        <v>133</v>
      </c>
      <c r="T343" s="6">
        <v>48.3</v>
      </c>
      <c r="U343" s="3">
        <v>46251.25</v>
      </c>
      <c r="W343" t="s">
        <v>1484</v>
      </c>
      <c r="X343" t="s">
        <v>67</v>
      </c>
      <c r="Y343" t="s">
        <v>68</v>
      </c>
      <c r="Z343" t="s">
        <v>1485</v>
      </c>
      <c r="AA343" t="s">
        <v>1486</v>
      </c>
      <c r="AB343" t="s">
        <v>67</v>
      </c>
      <c r="AC343" t="s">
        <v>70</v>
      </c>
      <c r="AD343" t="s">
        <v>71</v>
      </c>
      <c r="AE343" t="s">
        <v>220</v>
      </c>
      <c r="AF343" t="s">
        <v>67</v>
      </c>
      <c r="AG343" t="s">
        <v>1492</v>
      </c>
      <c r="AH343" t="b">
        <v>0</v>
      </c>
      <c r="AI343" t="b">
        <v>0</v>
      </c>
      <c r="AJ343" t="b">
        <v>0</v>
      </c>
      <c r="AK343" t="b">
        <v>1</v>
      </c>
      <c r="AL343" s="6">
        <v>48.3</v>
      </c>
      <c r="AM343" s="3">
        <v>46125.458333333343</v>
      </c>
      <c r="AN343">
        <v>0</v>
      </c>
      <c r="AO343" s="3"/>
      <c r="AT343" t="b">
        <v>0</v>
      </c>
      <c r="AU343" t="s">
        <v>74</v>
      </c>
      <c r="AV343" t="b">
        <v>1</v>
      </c>
      <c r="AW343" t="b">
        <v>0</v>
      </c>
      <c r="AX343" s="5">
        <v>0</v>
      </c>
      <c r="AY343" s="3"/>
      <c r="AZ343" t="s">
        <v>67</v>
      </c>
      <c r="BA343" t="s">
        <v>67</v>
      </c>
      <c r="BB343" t="s">
        <v>317</v>
      </c>
    </row>
    <row r="344" spans="1:54" x14ac:dyDescent="0.3">
      <c r="A344">
        <v>1</v>
      </c>
      <c r="B344">
        <v>15</v>
      </c>
      <c r="C344" t="s">
        <v>54</v>
      </c>
      <c r="D344" s="3">
        <v>45699.499710648153</v>
      </c>
      <c r="E344" s="8">
        <v>45699</v>
      </c>
      <c r="F344" t="s">
        <v>1481</v>
      </c>
      <c r="G344" t="s">
        <v>56</v>
      </c>
      <c r="H344" t="s">
        <v>1482</v>
      </c>
      <c r="I344" t="s">
        <v>1483</v>
      </c>
      <c r="J344" t="s">
        <v>59</v>
      </c>
      <c r="L344" t="s">
        <v>699</v>
      </c>
      <c r="M344" t="s">
        <v>62</v>
      </c>
      <c r="N344" t="s">
        <v>63</v>
      </c>
      <c r="O344" t="s">
        <v>1490</v>
      </c>
      <c r="P344" t="s">
        <v>1491</v>
      </c>
      <c r="Q344" s="5">
        <v>1</v>
      </c>
      <c r="R344" s="6">
        <v>133</v>
      </c>
      <c r="S344" s="6">
        <v>133</v>
      </c>
      <c r="T344" s="6">
        <v>48.3</v>
      </c>
      <c r="U344" s="3">
        <v>46251.25</v>
      </c>
      <c r="W344" t="s">
        <v>1484</v>
      </c>
      <c r="X344" t="s">
        <v>67</v>
      </c>
      <c r="Y344" t="s">
        <v>68</v>
      </c>
      <c r="Z344" t="s">
        <v>1485</v>
      </c>
      <c r="AA344" t="s">
        <v>1486</v>
      </c>
      <c r="AB344" t="s">
        <v>67</v>
      </c>
      <c r="AC344" t="s">
        <v>70</v>
      </c>
      <c r="AD344" t="s">
        <v>71</v>
      </c>
      <c r="AE344" t="s">
        <v>220</v>
      </c>
      <c r="AF344" t="s">
        <v>67</v>
      </c>
      <c r="AG344" t="s">
        <v>1492</v>
      </c>
      <c r="AH344" t="b">
        <v>0</v>
      </c>
      <c r="AI344" t="b">
        <v>0</v>
      </c>
      <c r="AJ344" t="b">
        <v>0</v>
      </c>
      <c r="AK344" t="b">
        <v>1</v>
      </c>
      <c r="AL344" s="6">
        <v>48.3</v>
      </c>
      <c r="AM344" s="3">
        <v>46125.458333333343</v>
      </c>
      <c r="AN344">
        <v>1</v>
      </c>
      <c r="AO344" s="3"/>
      <c r="AT344" t="b">
        <v>0</v>
      </c>
      <c r="AU344" t="s">
        <v>74</v>
      </c>
      <c r="AV344" t="b">
        <v>1</v>
      </c>
      <c r="AW344" t="b">
        <v>0</v>
      </c>
      <c r="AX344" s="5">
        <v>0</v>
      </c>
      <c r="AY344" s="3"/>
      <c r="AZ344" t="s">
        <v>67</v>
      </c>
      <c r="BA344" t="s">
        <v>67</v>
      </c>
      <c r="BB344" t="s">
        <v>317</v>
      </c>
    </row>
    <row r="345" spans="1:54" x14ac:dyDescent="0.3">
      <c r="A345">
        <v>1</v>
      </c>
      <c r="B345">
        <v>15</v>
      </c>
      <c r="C345" t="s">
        <v>54</v>
      </c>
      <c r="D345" s="3">
        <v>45699.499710648153</v>
      </c>
      <c r="E345" s="8">
        <v>45699</v>
      </c>
      <c r="F345" t="s">
        <v>1481</v>
      </c>
      <c r="G345" t="s">
        <v>56</v>
      </c>
      <c r="H345" t="s">
        <v>1482</v>
      </c>
      <c r="I345" t="s">
        <v>1483</v>
      </c>
      <c r="J345" t="s">
        <v>59</v>
      </c>
      <c r="L345" t="s">
        <v>699</v>
      </c>
      <c r="M345" t="s">
        <v>62</v>
      </c>
      <c r="N345" t="s">
        <v>63</v>
      </c>
      <c r="O345" t="s">
        <v>1493</v>
      </c>
      <c r="P345" t="s">
        <v>1494</v>
      </c>
      <c r="Q345" s="5">
        <v>1</v>
      </c>
      <c r="R345" s="6">
        <v>97</v>
      </c>
      <c r="S345" s="6">
        <v>97</v>
      </c>
      <c r="T345" s="6">
        <v>34.96</v>
      </c>
      <c r="U345" s="3">
        <v>46251.25</v>
      </c>
      <c r="W345" t="s">
        <v>1484</v>
      </c>
      <c r="X345" t="s">
        <v>67</v>
      </c>
      <c r="Y345" t="s">
        <v>68</v>
      </c>
      <c r="Z345" t="s">
        <v>1485</v>
      </c>
      <c r="AA345" t="s">
        <v>1486</v>
      </c>
      <c r="AB345" t="s">
        <v>67</v>
      </c>
      <c r="AC345" t="s">
        <v>70</v>
      </c>
      <c r="AD345" t="s">
        <v>71</v>
      </c>
      <c r="AE345" t="s">
        <v>220</v>
      </c>
      <c r="AF345" t="s">
        <v>67</v>
      </c>
      <c r="AG345" t="s">
        <v>1495</v>
      </c>
      <c r="AH345" t="b">
        <v>0</v>
      </c>
      <c r="AI345" t="b">
        <v>0</v>
      </c>
      <c r="AJ345" t="b">
        <v>0</v>
      </c>
      <c r="AK345" t="b">
        <v>1</v>
      </c>
      <c r="AL345" s="6">
        <v>34.96</v>
      </c>
      <c r="AM345" s="3">
        <v>46125.458333333343</v>
      </c>
      <c r="AN345">
        <v>0</v>
      </c>
      <c r="AO345" s="3"/>
      <c r="AT345" t="b">
        <v>0</v>
      </c>
      <c r="AU345" t="s">
        <v>74</v>
      </c>
      <c r="AV345" t="b">
        <v>1</v>
      </c>
      <c r="AW345" t="b">
        <v>0</v>
      </c>
      <c r="AX345" s="5">
        <v>0</v>
      </c>
      <c r="AY345" s="3"/>
      <c r="AZ345" t="s">
        <v>67</v>
      </c>
      <c r="BA345" t="s">
        <v>67</v>
      </c>
      <c r="BB345" t="s">
        <v>317</v>
      </c>
    </row>
    <row r="346" spans="1:54" x14ac:dyDescent="0.3">
      <c r="A346">
        <v>1</v>
      </c>
      <c r="B346">
        <v>15</v>
      </c>
      <c r="C346" t="s">
        <v>54</v>
      </c>
      <c r="D346" s="3">
        <v>45699.499710648153</v>
      </c>
      <c r="E346" s="8">
        <v>45699</v>
      </c>
      <c r="F346" t="s">
        <v>1481</v>
      </c>
      <c r="G346" t="s">
        <v>56</v>
      </c>
      <c r="H346" t="s">
        <v>1482</v>
      </c>
      <c r="I346" t="s">
        <v>1483</v>
      </c>
      <c r="J346" t="s">
        <v>59</v>
      </c>
      <c r="L346" t="s">
        <v>699</v>
      </c>
      <c r="M346" t="s">
        <v>62</v>
      </c>
      <c r="N346" t="s">
        <v>63</v>
      </c>
      <c r="O346" t="s">
        <v>1493</v>
      </c>
      <c r="P346" t="s">
        <v>1494</v>
      </c>
      <c r="Q346" s="5">
        <v>1</v>
      </c>
      <c r="R346" s="6">
        <v>97</v>
      </c>
      <c r="S346" s="6">
        <v>97</v>
      </c>
      <c r="T346" s="6">
        <v>34.96</v>
      </c>
      <c r="U346" s="3">
        <v>46251.25</v>
      </c>
      <c r="W346" t="s">
        <v>1484</v>
      </c>
      <c r="X346" t="s">
        <v>67</v>
      </c>
      <c r="Y346" t="s">
        <v>68</v>
      </c>
      <c r="Z346" t="s">
        <v>1485</v>
      </c>
      <c r="AA346" t="s">
        <v>1486</v>
      </c>
      <c r="AB346" t="s">
        <v>67</v>
      </c>
      <c r="AC346" t="s">
        <v>70</v>
      </c>
      <c r="AD346" t="s">
        <v>71</v>
      </c>
      <c r="AE346" t="s">
        <v>220</v>
      </c>
      <c r="AF346" t="s">
        <v>67</v>
      </c>
      <c r="AG346" t="s">
        <v>1495</v>
      </c>
      <c r="AH346" t="b">
        <v>0</v>
      </c>
      <c r="AI346" t="b">
        <v>0</v>
      </c>
      <c r="AJ346" t="b">
        <v>0</v>
      </c>
      <c r="AK346" t="b">
        <v>1</v>
      </c>
      <c r="AL346" s="6">
        <v>34.96</v>
      </c>
      <c r="AM346" s="3">
        <v>46125.458333333343</v>
      </c>
      <c r="AN346">
        <v>1</v>
      </c>
      <c r="AO346" s="3"/>
      <c r="AT346" t="b">
        <v>0</v>
      </c>
      <c r="AU346" t="s">
        <v>74</v>
      </c>
      <c r="AV346" t="b">
        <v>1</v>
      </c>
      <c r="AW346" t="b">
        <v>0</v>
      </c>
      <c r="AX346" s="5">
        <v>0</v>
      </c>
      <c r="AY346" s="3"/>
      <c r="AZ346" t="s">
        <v>67</v>
      </c>
      <c r="BA346" t="s">
        <v>67</v>
      </c>
      <c r="BB346" t="s">
        <v>317</v>
      </c>
    </row>
    <row r="347" spans="1:54" x14ac:dyDescent="0.3">
      <c r="A347">
        <v>1</v>
      </c>
      <c r="B347">
        <v>15</v>
      </c>
      <c r="C347" t="s">
        <v>54</v>
      </c>
      <c r="D347" s="3">
        <v>45699.686759259261</v>
      </c>
      <c r="E347" s="8">
        <v>45699</v>
      </c>
      <c r="F347" t="s">
        <v>1496</v>
      </c>
      <c r="G347" t="s">
        <v>56</v>
      </c>
      <c r="H347" t="s">
        <v>1497</v>
      </c>
      <c r="I347" t="s">
        <v>1498</v>
      </c>
      <c r="J347" t="s">
        <v>363</v>
      </c>
      <c r="L347" t="s">
        <v>741</v>
      </c>
      <c r="M347" t="s">
        <v>366</v>
      </c>
      <c r="O347" t="s">
        <v>742</v>
      </c>
      <c r="P347" t="s">
        <v>743</v>
      </c>
      <c r="Q347" s="5">
        <v>1</v>
      </c>
      <c r="R347" s="6">
        <v>519</v>
      </c>
      <c r="S347" s="6">
        <v>519</v>
      </c>
      <c r="T347" s="6">
        <v>324</v>
      </c>
      <c r="U347" s="3">
        <v>46260.458333333343</v>
      </c>
      <c r="W347" t="s">
        <v>1499</v>
      </c>
      <c r="X347" t="s">
        <v>70</v>
      </c>
      <c r="Y347" t="s">
        <v>23</v>
      </c>
      <c r="Z347" t="s">
        <v>69</v>
      </c>
      <c r="AA347" t="s">
        <v>69</v>
      </c>
      <c r="AB347" t="s">
        <v>67</v>
      </c>
      <c r="AC347" t="s">
        <v>70</v>
      </c>
      <c r="AD347" t="s">
        <v>745</v>
      </c>
      <c r="AE347" t="s">
        <v>102</v>
      </c>
      <c r="AF347" t="s">
        <v>67</v>
      </c>
      <c r="AH347" t="b">
        <v>0</v>
      </c>
      <c r="AI347" t="b">
        <v>0</v>
      </c>
      <c r="AJ347" t="b">
        <v>0</v>
      </c>
      <c r="AK347" t="b">
        <v>0</v>
      </c>
      <c r="AL347" s="6">
        <v>324</v>
      </c>
      <c r="AM347" s="3">
        <v>46260.458333333343</v>
      </c>
      <c r="AN347">
        <v>1</v>
      </c>
      <c r="AO347" s="3"/>
      <c r="AT347" t="b">
        <v>0</v>
      </c>
      <c r="AU347" t="s">
        <v>74</v>
      </c>
      <c r="AV347" t="b">
        <v>1</v>
      </c>
      <c r="AW347" t="b">
        <v>0</v>
      </c>
      <c r="AX347" s="5">
        <v>0</v>
      </c>
      <c r="AY347" s="3"/>
      <c r="AZ347" t="s">
        <v>67</v>
      </c>
      <c r="BA347" t="s">
        <v>67</v>
      </c>
      <c r="BB347" t="s">
        <v>317</v>
      </c>
    </row>
    <row r="348" spans="1:54" x14ac:dyDescent="0.3">
      <c r="A348">
        <v>1</v>
      </c>
      <c r="B348">
        <v>15</v>
      </c>
      <c r="C348" t="s">
        <v>54</v>
      </c>
      <c r="D348" s="3">
        <v>45716.593958333331</v>
      </c>
      <c r="E348" s="8">
        <v>45716</v>
      </c>
      <c r="F348" t="s">
        <v>1500</v>
      </c>
      <c r="G348" t="s">
        <v>56</v>
      </c>
      <c r="H348" t="s">
        <v>1501</v>
      </c>
      <c r="I348" t="s">
        <v>1502</v>
      </c>
      <c r="J348" t="s">
        <v>310</v>
      </c>
      <c r="K348" t="s">
        <v>1503</v>
      </c>
      <c r="L348" t="s">
        <v>384</v>
      </c>
      <c r="M348" t="s">
        <v>312</v>
      </c>
      <c r="N348" t="s">
        <v>312</v>
      </c>
      <c r="O348" t="s">
        <v>313</v>
      </c>
      <c r="P348" t="s">
        <v>314</v>
      </c>
      <c r="Q348" s="5">
        <v>1</v>
      </c>
      <c r="R348" s="6">
        <v>100</v>
      </c>
      <c r="S348" s="6">
        <v>100</v>
      </c>
      <c r="T348" s="6">
        <v>0</v>
      </c>
      <c r="U348" s="3">
        <v>46280.291666666657</v>
      </c>
      <c r="W348" t="s">
        <v>1504</v>
      </c>
      <c r="X348" t="s">
        <v>70</v>
      </c>
      <c r="Y348" t="s">
        <v>23</v>
      </c>
      <c r="Z348" t="s">
        <v>69</v>
      </c>
      <c r="AA348" t="s">
        <v>69</v>
      </c>
      <c r="AB348" t="s">
        <v>67</v>
      </c>
      <c r="AC348" t="s">
        <v>70</v>
      </c>
      <c r="AD348" t="s">
        <v>316</v>
      </c>
      <c r="AE348" t="s">
        <v>102</v>
      </c>
      <c r="AF348" t="s">
        <v>67</v>
      </c>
      <c r="AH348" t="b">
        <v>1</v>
      </c>
      <c r="AI348" t="b">
        <v>0</v>
      </c>
      <c r="AJ348" t="b">
        <v>0</v>
      </c>
      <c r="AK348" t="b">
        <v>0</v>
      </c>
      <c r="AL348" s="6">
        <v>0</v>
      </c>
      <c r="AM348" s="3">
        <v>45786.472222222219</v>
      </c>
      <c r="AN348">
        <v>1</v>
      </c>
      <c r="AO348" s="3"/>
      <c r="AT348" t="b">
        <v>0</v>
      </c>
      <c r="AU348" t="s">
        <v>74</v>
      </c>
      <c r="AV348" t="b">
        <v>1</v>
      </c>
      <c r="AW348" t="b">
        <v>0</v>
      </c>
      <c r="AX348" s="5">
        <v>0</v>
      </c>
      <c r="AY348" s="3"/>
      <c r="AZ348" t="s">
        <v>67</v>
      </c>
      <c r="BA348" t="s">
        <v>67</v>
      </c>
      <c r="BB348" t="s">
        <v>317</v>
      </c>
    </row>
    <row r="349" spans="1:54" x14ac:dyDescent="0.3">
      <c r="A349">
        <v>1</v>
      </c>
      <c r="B349">
        <v>15</v>
      </c>
      <c r="C349" t="s">
        <v>54</v>
      </c>
      <c r="D349" s="3">
        <v>45735.470567129632</v>
      </c>
      <c r="E349" s="8">
        <v>45736</v>
      </c>
      <c r="F349" t="s">
        <v>1505</v>
      </c>
      <c r="G349" t="s">
        <v>56</v>
      </c>
      <c r="H349" t="s">
        <v>1506</v>
      </c>
      <c r="I349" t="s">
        <v>1507</v>
      </c>
      <c r="J349" t="s">
        <v>593</v>
      </c>
      <c r="K349" t="s">
        <v>670</v>
      </c>
      <c r="L349" t="s">
        <v>595</v>
      </c>
      <c r="M349" t="s">
        <v>312</v>
      </c>
      <c r="N349" t="s">
        <v>312</v>
      </c>
      <c r="O349" t="s">
        <v>313</v>
      </c>
      <c r="P349" t="s">
        <v>314</v>
      </c>
      <c r="Q349" s="5">
        <v>1</v>
      </c>
      <c r="R349" s="6">
        <v>100</v>
      </c>
      <c r="S349" s="6">
        <v>100</v>
      </c>
      <c r="T349" s="6">
        <v>0</v>
      </c>
      <c r="U349" s="3">
        <v>45737.25</v>
      </c>
      <c r="W349" t="s">
        <v>1508</v>
      </c>
      <c r="X349" t="s">
        <v>70</v>
      </c>
      <c r="Y349" t="s">
        <v>23</v>
      </c>
      <c r="Z349" t="s">
        <v>69</v>
      </c>
      <c r="AA349" t="s">
        <v>69</v>
      </c>
      <c r="AB349" t="s">
        <v>67</v>
      </c>
      <c r="AC349" t="s">
        <v>70</v>
      </c>
      <c r="AD349" t="s">
        <v>316</v>
      </c>
      <c r="AE349" t="s">
        <v>102</v>
      </c>
      <c r="AF349" t="s">
        <v>67</v>
      </c>
      <c r="AH349" t="b">
        <v>0</v>
      </c>
      <c r="AI349" t="b">
        <v>0</v>
      </c>
      <c r="AJ349" t="b">
        <v>0</v>
      </c>
      <c r="AK349" t="b">
        <v>0</v>
      </c>
      <c r="AL349" s="6">
        <v>0</v>
      </c>
      <c r="AM349" s="3">
        <v>45737.25</v>
      </c>
      <c r="AN349">
        <v>1</v>
      </c>
      <c r="AO349" s="3"/>
      <c r="AT349" t="b">
        <v>0</v>
      </c>
      <c r="AU349" t="s">
        <v>74</v>
      </c>
      <c r="AV349" t="b">
        <v>1</v>
      </c>
      <c r="AW349" t="b">
        <v>0</v>
      </c>
      <c r="AX349" s="5">
        <v>0</v>
      </c>
      <c r="AY349" s="3"/>
      <c r="AZ349" t="s">
        <v>67</v>
      </c>
      <c r="BA349" t="s">
        <v>67</v>
      </c>
      <c r="BB349" t="s">
        <v>317</v>
      </c>
    </row>
    <row r="350" spans="1:54" x14ac:dyDescent="0.3">
      <c r="A350">
        <v>1</v>
      </c>
      <c r="B350">
        <v>15</v>
      </c>
      <c r="C350" t="s">
        <v>54</v>
      </c>
      <c r="D350" s="3">
        <v>45735.517106481479</v>
      </c>
      <c r="E350" s="8">
        <v>45736</v>
      </c>
      <c r="F350" t="s">
        <v>1509</v>
      </c>
      <c r="G350" t="s">
        <v>56</v>
      </c>
      <c r="H350" t="s">
        <v>1510</v>
      </c>
      <c r="I350" t="s">
        <v>1511</v>
      </c>
      <c r="J350" t="s">
        <v>593</v>
      </c>
      <c r="K350" t="s">
        <v>704</v>
      </c>
      <c r="L350" t="s">
        <v>595</v>
      </c>
      <c r="M350" t="s">
        <v>312</v>
      </c>
      <c r="N350" t="s">
        <v>312</v>
      </c>
      <c r="O350" t="s">
        <v>313</v>
      </c>
      <c r="P350" t="s">
        <v>314</v>
      </c>
      <c r="Q350" s="5">
        <v>1</v>
      </c>
      <c r="R350" s="6">
        <v>100</v>
      </c>
      <c r="S350" s="6">
        <v>100</v>
      </c>
      <c r="T350" s="6">
        <v>0</v>
      </c>
      <c r="U350" s="3">
        <v>45742.229166666657</v>
      </c>
      <c r="W350" t="s">
        <v>1512</v>
      </c>
      <c r="X350" t="s">
        <v>70</v>
      </c>
      <c r="Y350" t="s">
        <v>23</v>
      </c>
      <c r="Z350" t="s">
        <v>69</v>
      </c>
      <c r="AA350" t="s">
        <v>69</v>
      </c>
      <c r="AB350" t="s">
        <v>67</v>
      </c>
      <c r="AC350" t="s">
        <v>70</v>
      </c>
      <c r="AD350" t="s">
        <v>316</v>
      </c>
      <c r="AE350" t="s">
        <v>102</v>
      </c>
      <c r="AF350" t="s">
        <v>67</v>
      </c>
      <c r="AH350" t="b">
        <v>1</v>
      </c>
      <c r="AI350" t="b">
        <v>1</v>
      </c>
      <c r="AJ350" t="b">
        <v>0</v>
      </c>
      <c r="AK350" t="b">
        <v>1</v>
      </c>
      <c r="AL350" s="6">
        <v>0</v>
      </c>
      <c r="AM350" s="3">
        <v>45736.458333333343</v>
      </c>
      <c r="AN350">
        <v>1</v>
      </c>
      <c r="AO350" s="3"/>
      <c r="AT350" t="b">
        <v>0</v>
      </c>
      <c r="AU350" t="s">
        <v>74</v>
      </c>
      <c r="AV350" t="b">
        <v>1</v>
      </c>
      <c r="AW350" t="b">
        <v>0</v>
      </c>
      <c r="AX350" s="5">
        <v>0</v>
      </c>
      <c r="AY350" s="3"/>
      <c r="AZ350" t="s">
        <v>67</v>
      </c>
      <c r="BA350" t="s">
        <v>67</v>
      </c>
      <c r="BB350" t="s">
        <v>317</v>
      </c>
    </row>
    <row r="351" spans="1:54" x14ac:dyDescent="0.3">
      <c r="A351">
        <v>1</v>
      </c>
      <c r="B351">
        <v>15</v>
      </c>
      <c r="C351" t="s">
        <v>54</v>
      </c>
      <c r="D351" s="3">
        <v>45735.635613425933</v>
      </c>
      <c r="E351" s="8">
        <v>45772</v>
      </c>
      <c r="F351" t="s">
        <v>1513</v>
      </c>
      <c r="G351" t="s">
        <v>56</v>
      </c>
      <c r="H351" t="s">
        <v>1514</v>
      </c>
      <c r="I351" t="s">
        <v>1515</v>
      </c>
      <c r="J351" t="s">
        <v>593</v>
      </c>
      <c r="K351" t="s">
        <v>790</v>
      </c>
      <c r="L351" t="s">
        <v>595</v>
      </c>
      <c r="M351" t="s">
        <v>312</v>
      </c>
      <c r="N351" t="s">
        <v>312</v>
      </c>
      <c r="O351" t="s">
        <v>313</v>
      </c>
      <c r="P351" t="s">
        <v>314</v>
      </c>
      <c r="Q351" s="5">
        <v>1</v>
      </c>
      <c r="R351" s="6">
        <v>100</v>
      </c>
      <c r="S351" s="6">
        <v>100</v>
      </c>
      <c r="T351" s="6">
        <v>0</v>
      </c>
      <c r="U351" s="3">
        <v>45772.458333333343</v>
      </c>
      <c r="W351" t="s">
        <v>1516</v>
      </c>
      <c r="X351" t="s">
        <v>70</v>
      </c>
      <c r="Y351" t="s">
        <v>23</v>
      </c>
      <c r="Z351" t="s">
        <v>69</v>
      </c>
      <c r="AA351" t="s">
        <v>69</v>
      </c>
      <c r="AB351" t="s">
        <v>67</v>
      </c>
      <c r="AC351" t="s">
        <v>70</v>
      </c>
      <c r="AD351" t="s">
        <v>316</v>
      </c>
      <c r="AE351" t="s">
        <v>102</v>
      </c>
      <c r="AF351" t="s">
        <v>67</v>
      </c>
      <c r="AH351" t="b">
        <v>1</v>
      </c>
      <c r="AI351" t="b">
        <v>1</v>
      </c>
      <c r="AJ351" t="b">
        <v>0</v>
      </c>
      <c r="AK351" t="b">
        <v>1</v>
      </c>
      <c r="AL351" s="6">
        <v>0</v>
      </c>
      <c r="AM351" s="3">
        <v>45772.458333333343</v>
      </c>
      <c r="AN351">
        <v>1</v>
      </c>
      <c r="AO351" s="3"/>
      <c r="AT351" t="b">
        <v>0</v>
      </c>
      <c r="AU351" t="s">
        <v>74</v>
      </c>
      <c r="AV351" t="b">
        <v>1</v>
      </c>
      <c r="AW351" t="b">
        <v>0</v>
      </c>
      <c r="AX351" s="5">
        <v>0</v>
      </c>
      <c r="AY351" s="3"/>
      <c r="AZ351" t="s">
        <v>67</v>
      </c>
      <c r="BA351" t="s">
        <v>67</v>
      </c>
      <c r="BB351" t="s">
        <v>317</v>
      </c>
    </row>
    <row r="352" spans="1:54" x14ac:dyDescent="0.3">
      <c r="A352">
        <v>1</v>
      </c>
      <c r="B352">
        <v>15</v>
      </c>
      <c r="C352" t="s">
        <v>54</v>
      </c>
      <c r="D352" s="3">
        <v>45735.644236111111</v>
      </c>
      <c r="E352" s="8">
        <v>45736</v>
      </c>
      <c r="F352" t="s">
        <v>1517</v>
      </c>
      <c r="G352" t="s">
        <v>56</v>
      </c>
      <c r="H352" t="s">
        <v>1518</v>
      </c>
      <c r="I352" t="s">
        <v>1519</v>
      </c>
      <c r="J352" t="s">
        <v>593</v>
      </c>
      <c r="K352" t="s">
        <v>889</v>
      </c>
      <c r="L352" t="s">
        <v>595</v>
      </c>
      <c r="M352" t="s">
        <v>312</v>
      </c>
      <c r="N352" t="s">
        <v>312</v>
      </c>
      <c r="O352" t="s">
        <v>313</v>
      </c>
      <c r="P352" t="s">
        <v>314</v>
      </c>
      <c r="Q352" s="5">
        <v>1</v>
      </c>
      <c r="R352" s="6">
        <v>100</v>
      </c>
      <c r="S352" s="6">
        <v>100</v>
      </c>
      <c r="T352" s="6">
        <v>0</v>
      </c>
      <c r="U352" s="3">
        <v>45737.229166666657</v>
      </c>
      <c r="W352" t="s">
        <v>1520</v>
      </c>
      <c r="X352" t="s">
        <v>70</v>
      </c>
      <c r="Y352" t="s">
        <v>23</v>
      </c>
      <c r="Z352" t="s">
        <v>69</v>
      </c>
      <c r="AA352" t="s">
        <v>69</v>
      </c>
      <c r="AB352" t="s">
        <v>67</v>
      </c>
      <c r="AC352" t="s">
        <v>70</v>
      </c>
      <c r="AD352" t="s">
        <v>316</v>
      </c>
      <c r="AE352" t="s">
        <v>102</v>
      </c>
      <c r="AF352" t="s">
        <v>67</v>
      </c>
      <c r="AH352" t="b">
        <v>0</v>
      </c>
      <c r="AI352" t="b">
        <v>0</v>
      </c>
      <c r="AJ352" t="b">
        <v>0</v>
      </c>
      <c r="AK352" t="b">
        <v>0</v>
      </c>
      <c r="AL352" s="6">
        <v>0</v>
      </c>
      <c r="AM352" s="3">
        <v>45737.229166666657</v>
      </c>
      <c r="AN352">
        <v>1</v>
      </c>
      <c r="AO352" s="3"/>
      <c r="AT352" t="b">
        <v>0</v>
      </c>
      <c r="AU352" t="s">
        <v>74</v>
      </c>
      <c r="AV352" t="b">
        <v>1</v>
      </c>
      <c r="AW352" t="b">
        <v>0</v>
      </c>
      <c r="AX352" s="5">
        <v>0</v>
      </c>
      <c r="AY352" s="3"/>
      <c r="AZ352" t="s">
        <v>67</v>
      </c>
      <c r="BA352" t="s">
        <v>67</v>
      </c>
      <c r="BB352" t="s">
        <v>317</v>
      </c>
    </row>
    <row r="353" spans="1:54" x14ac:dyDescent="0.3">
      <c r="A353">
        <v>1</v>
      </c>
      <c r="B353">
        <v>15</v>
      </c>
      <c r="C353" t="s">
        <v>54</v>
      </c>
      <c r="D353" s="3">
        <v>45735.678263888891</v>
      </c>
      <c r="E353" s="8">
        <v>45798</v>
      </c>
      <c r="F353" t="s">
        <v>1521</v>
      </c>
      <c r="G353" t="s">
        <v>56</v>
      </c>
      <c r="H353" t="s">
        <v>1522</v>
      </c>
      <c r="I353" t="s">
        <v>1523</v>
      </c>
      <c r="J353" t="s">
        <v>593</v>
      </c>
      <c r="K353" t="s">
        <v>620</v>
      </c>
      <c r="L353" t="s">
        <v>595</v>
      </c>
      <c r="M353" t="s">
        <v>312</v>
      </c>
      <c r="N353" t="s">
        <v>312</v>
      </c>
      <c r="O353" t="s">
        <v>313</v>
      </c>
      <c r="P353" t="s">
        <v>314</v>
      </c>
      <c r="Q353" s="5">
        <v>1</v>
      </c>
      <c r="R353" s="6">
        <v>100</v>
      </c>
      <c r="S353" s="6">
        <v>100</v>
      </c>
      <c r="T353" s="6">
        <v>0</v>
      </c>
      <c r="U353" s="3">
        <v>45798.472222222219</v>
      </c>
      <c r="W353" t="s">
        <v>1524</v>
      </c>
      <c r="X353" t="s">
        <v>70</v>
      </c>
      <c r="Y353" t="s">
        <v>23</v>
      </c>
      <c r="Z353" t="s">
        <v>69</v>
      </c>
      <c r="AA353" t="s">
        <v>69</v>
      </c>
      <c r="AB353" t="s">
        <v>67</v>
      </c>
      <c r="AC353" t="s">
        <v>70</v>
      </c>
      <c r="AD353" t="s">
        <v>316</v>
      </c>
      <c r="AE353" t="s">
        <v>102</v>
      </c>
      <c r="AF353" t="s">
        <v>67</v>
      </c>
      <c r="AH353" t="b">
        <v>1</v>
      </c>
      <c r="AI353" t="b">
        <v>0</v>
      </c>
      <c r="AJ353" t="b">
        <v>0</v>
      </c>
      <c r="AK353" t="b">
        <v>0</v>
      </c>
      <c r="AL353" s="6">
        <v>0</v>
      </c>
      <c r="AM353" s="3">
        <v>45798.472222222219</v>
      </c>
      <c r="AN353">
        <v>1</v>
      </c>
      <c r="AO353" s="3"/>
      <c r="AT353" t="b">
        <v>0</v>
      </c>
      <c r="AU353" t="s">
        <v>74</v>
      </c>
      <c r="AV353" t="b">
        <v>1</v>
      </c>
      <c r="AW353" t="b">
        <v>0</v>
      </c>
      <c r="AX353" s="5">
        <v>0</v>
      </c>
      <c r="AY353" s="3"/>
      <c r="AZ353" t="s">
        <v>67</v>
      </c>
      <c r="BA353" t="s">
        <v>67</v>
      </c>
      <c r="BB353" t="s">
        <v>317</v>
      </c>
    </row>
    <row r="354" spans="1:54" x14ac:dyDescent="0.3">
      <c r="A354">
        <v>1</v>
      </c>
      <c r="B354">
        <v>15</v>
      </c>
      <c r="C354" t="s">
        <v>54</v>
      </c>
      <c r="D354" s="3">
        <v>45743.376979166656</v>
      </c>
      <c r="E354" s="8">
        <v>45743</v>
      </c>
      <c r="F354" t="s">
        <v>1525</v>
      </c>
      <c r="G354" t="s">
        <v>56</v>
      </c>
      <c r="H354" t="s">
        <v>1526</v>
      </c>
      <c r="I354" t="s">
        <v>1527</v>
      </c>
      <c r="J354" t="s">
        <v>363</v>
      </c>
      <c r="K354" t="s">
        <v>610</v>
      </c>
      <c r="L354" t="s">
        <v>741</v>
      </c>
      <c r="M354" t="s">
        <v>366</v>
      </c>
      <c r="O354" t="s">
        <v>531</v>
      </c>
      <c r="P354" t="s">
        <v>532</v>
      </c>
      <c r="Q354" s="5">
        <v>1</v>
      </c>
      <c r="R354" s="6">
        <v>25</v>
      </c>
      <c r="S354" s="6">
        <v>25</v>
      </c>
      <c r="T354" s="6">
        <v>9.8800000000000008</v>
      </c>
      <c r="U354" s="3">
        <v>46316.229166666657</v>
      </c>
      <c r="W354" t="s">
        <v>1528</v>
      </c>
      <c r="X354" t="s">
        <v>67</v>
      </c>
      <c r="Y354" t="s">
        <v>68</v>
      </c>
      <c r="Z354" t="s">
        <v>521</v>
      </c>
      <c r="AA354" t="s">
        <v>522</v>
      </c>
      <c r="AB354" t="s">
        <v>70</v>
      </c>
      <c r="AC354" t="s">
        <v>70</v>
      </c>
      <c r="AD354" t="s">
        <v>745</v>
      </c>
      <c r="AE354" t="s">
        <v>371</v>
      </c>
      <c r="AF354" t="s">
        <v>67</v>
      </c>
      <c r="AG354" t="s">
        <v>531</v>
      </c>
      <c r="AH354" t="b">
        <v>0</v>
      </c>
      <c r="AI354" t="b">
        <v>0</v>
      </c>
      <c r="AJ354" t="b">
        <v>0</v>
      </c>
      <c r="AK354" t="b">
        <v>0</v>
      </c>
      <c r="AL354" s="6">
        <v>9.8800000000000008</v>
      </c>
      <c r="AM354" s="3">
        <v>46316.229166666657</v>
      </c>
      <c r="AN354">
        <v>1</v>
      </c>
      <c r="AO354" s="3"/>
      <c r="AT354" t="b">
        <v>0</v>
      </c>
      <c r="AU354" t="s">
        <v>74</v>
      </c>
      <c r="AV354" t="b">
        <v>1</v>
      </c>
      <c r="AW354" t="b">
        <v>0</v>
      </c>
      <c r="AX354" s="5">
        <v>0</v>
      </c>
      <c r="AY354" s="3"/>
      <c r="AZ354" t="s">
        <v>67</v>
      </c>
      <c r="BA354" t="s">
        <v>67</v>
      </c>
      <c r="BB354" t="s">
        <v>317</v>
      </c>
    </row>
    <row r="355" spans="1:54" x14ac:dyDescent="0.3">
      <c r="A355">
        <v>1</v>
      </c>
      <c r="B355">
        <v>15</v>
      </c>
      <c r="C355" t="s">
        <v>54</v>
      </c>
      <c r="D355" s="3">
        <v>45750.362986111111</v>
      </c>
      <c r="E355" s="8">
        <v>45750</v>
      </c>
      <c r="F355" t="s">
        <v>1529</v>
      </c>
      <c r="G355" t="s">
        <v>56</v>
      </c>
      <c r="H355" t="s">
        <v>1530</v>
      </c>
      <c r="I355" t="s">
        <v>1531</v>
      </c>
      <c r="J355" t="s">
        <v>310</v>
      </c>
      <c r="K355" t="s">
        <v>353</v>
      </c>
      <c r="L355" t="s">
        <v>384</v>
      </c>
      <c r="M355" t="s">
        <v>312</v>
      </c>
      <c r="N355" t="s">
        <v>312</v>
      </c>
      <c r="O355" t="s">
        <v>313</v>
      </c>
      <c r="P355" t="s">
        <v>314</v>
      </c>
      <c r="Q355" s="5">
        <v>1</v>
      </c>
      <c r="R355" s="6">
        <v>100</v>
      </c>
      <c r="S355" s="6">
        <v>100</v>
      </c>
      <c r="T355" s="6">
        <v>0</v>
      </c>
      <c r="U355" s="3">
        <v>45786.46875</v>
      </c>
      <c r="W355" t="s">
        <v>1532</v>
      </c>
      <c r="X355" t="s">
        <v>70</v>
      </c>
      <c r="Y355" t="s">
        <v>23</v>
      </c>
      <c r="Z355" t="s">
        <v>69</v>
      </c>
      <c r="AA355" t="s">
        <v>69</v>
      </c>
      <c r="AB355" t="s">
        <v>67</v>
      </c>
      <c r="AC355" t="s">
        <v>70</v>
      </c>
      <c r="AD355" t="s">
        <v>316</v>
      </c>
      <c r="AE355" t="s">
        <v>102</v>
      </c>
      <c r="AF355" t="s">
        <v>67</v>
      </c>
      <c r="AH355" t="b">
        <v>1</v>
      </c>
      <c r="AI355" t="b">
        <v>1</v>
      </c>
      <c r="AJ355" t="b">
        <v>0</v>
      </c>
      <c r="AK355" t="b">
        <v>1</v>
      </c>
      <c r="AL355" s="6">
        <v>0</v>
      </c>
      <c r="AM355" s="3">
        <v>45786.46875</v>
      </c>
      <c r="AN355">
        <v>1</v>
      </c>
      <c r="AO355" s="3"/>
      <c r="AT355" t="b">
        <v>0</v>
      </c>
      <c r="AU355" t="s">
        <v>74</v>
      </c>
      <c r="AV355" t="b">
        <v>1</v>
      </c>
      <c r="AW355" t="b">
        <v>0</v>
      </c>
      <c r="AX355" s="5">
        <v>0</v>
      </c>
      <c r="AY355" s="3"/>
      <c r="AZ355" t="s">
        <v>67</v>
      </c>
      <c r="BA355" t="s">
        <v>67</v>
      </c>
      <c r="BB355" t="s">
        <v>317</v>
      </c>
    </row>
    <row r="356" spans="1:54" x14ac:dyDescent="0.3">
      <c r="A356">
        <v>1</v>
      </c>
      <c r="B356">
        <v>15</v>
      </c>
      <c r="C356" t="s">
        <v>54</v>
      </c>
      <c r="D356" s="3">
        <v>45751.606539351851</v>
      </c>
      <c r="E356" s="8">
        <v>45751</v>
      </c>
      <c r="F356" t="s">
        <v>1533</v>
      </c>
      <c r="G356" t="s">
        <v>56</v>
      </c>
      <c r="H356" t="s">
        <v>1534</v>
      </c>
      <c r="I356" t="s">
        <v>1535</v>
      </c>
      <c r="J356" t="s">
        <v>310</v>
      </c>
      <c r="K356" t="s">
        <v>321</v>
      </c>
      <c r="L356" t="s">
        <v>398</v>
      </c>
      <c r="M356" t="s">
        <v>312</v>
      </c>
      <c r="O356" t="s">
        <v>313</v>
      </c>
      <c r="P356" t="s">
        <v>314</v>
      </c>
      <c r="Q356" s="5">
        <v>1</v>
      </c>
      <c r="R356" s="6">
        <v>100</v>
      </c>
      <c r="S356" s="6">
        <v>100</v>
      </c>
      <c r="T356" s="6">
        <v>0</v>
      </c>
      <c r="U356" s="3">
        <v>45786.458333333343</v>
      </c>
      <c r="W356" t="s">
        <v>1536</v>
      </c>
      <c r="X356" t="s">
        <v>70</v>
      </c>
      <c r="Y356" t="s">
        <v>23</v>
      </c>
      <c r="Z356" t="s">
        <v>69</v>
      </c>
      <c r="AA356" t="s">
        <v>69</v>
      </c>
      <c r="AB356" t="s">
        <v>70</v>
      </c>
      <c r="AC356" t="s">
        <v>70</v>
      </c>
      <c r="AD356" t="s">
        <v>316</v>
      </c>
      <c r="AE356" t="s">
        <v>102</v>
      </c>
      <c r="AF356" t="s">
        <v>67</v>
      </c>
      <c r="AH356" t="b">
        <v>1</v>
      </c>
      <c r="AI356" t="b">
        <v>0</v>
      </c>
      <c r="AJ356" t="b">
        <v>0</v>
      </c>
      <c r="AK356" t="b">
        <v>1</v>
      </c>
      <c r="AL356" s="6">
        <v>0</v>
      </c>
      <c r="AM356" s="3">
        <v>45786.458333333343</v>
      </c>
      <c r="AN356">
        <v>1</v>
      </c>
      <c r="AO356" s="3"/>
      <c r="AT356" t="b">
        <v>0</v>
      </c>
      <c r="AU356" t="s">
        <v>74</v>
      </c>
      <c r="AV356" t="b">
        <v>1</v>
      </c>
      <c r="AW356" t="b">
        <v>0</v>
      </c>
      <c r="AX356" s="5">
        <v>0</v>
      </c>
      <c r="AY356" s="3"/>
      <c r="AZ356" t="s">
        <v>67</v>
      </c>
      <c r="BA356" t="s">
        <v>67</v>
      </c>
      <c r="BB356" t="s">
        <v>317</v>
      </c>
    </row>
    <row r="357" spans="1:54" x14ac:dyDescent="0.3">
      <c r="A357">
        <v>1</v>
      </c>
      <c r="B357">
        <v>15</v>
      </c>
      <c r="C357" t="s">
        <v>54</v>
      </c>
      <c r="D357" s="3">
        <v>45751.72619212963</v>
      </c>
      <c r="E357" s="8">
        <v>45835</v>
      </c>
      <c r="F357" t="s">
        <v>1537</v>
      </c>
      <c r="G357" t="s">
        <v>56</v>
      </c>
      <c r="H357" t="s">
        <v>1538</v>
      </c>
      <c r="I357" t="s">
        <v>1539</v>
      </c>
      <c r="J357" t="s">
        <v>310</v>
      </c>
      <c r="K357" t="s">
        <v>634</v>
      </c>
      <c r="L357" t="s">
        <v>384</v>
      </c>
      <c r="M357" t="s">
        <v>312</v>
      </c>
      <c r="O357" t="s">
        <v>313</v>
      </c>
      <c r="P357" t="s">
        <v>314</v>
      </c>
      <c r="Q357" s="5">
        <v>1</v>
      </c>
      <c r="R357" s="6">
        <v>100</v>
      </c>
      <c r="S357" s="6">
        <v>100</v>
      </c>
      <c r="T357" s="6">
        <v>0</v>
      </c>
      <c r="U357" s="3">
        <v>45835.458333333343</v>
      </c>
      <c r="W357" t="s">
        <v>1540</v>
      </c>
      <c r="X357" t="s">
        <v>70</v>
      </c>
      <c r="Y357" t="s">
        <v>23</v>
      </c>
      <c r="Z357" t="s">
        <v>69</v>
      </c>
      <c r="AA357" t="s">
        <v>69</v>
      </c>
      <c r="AB357" t="s">
        <v>67</v>
      </c>
      <c r="AC357" t="s">
        <v>70</v>
      </c>
      <c r="AD357" t="s">
        <v>316</v>
      </c>
      <c r="AE357" t="s">
        <v>102</v>
      </c>
      <c r="AF357" t="s">
        <v>67</v>
      </c>
      <c r="AH357" t="b">
        <v>0</v>
      </c>
      <c r="AI357" t="b">
        <v>0</v>
      </c>
      <c r="AJ357" t="b">
        <v>0</v>
      </c>
      <c r="AK357" t="b">
        <v>0</v>
      </c>
      <c r="AL357" s="6">
        <v>0</v>
      </c>
      <c r="AM357" s="3">
        <v>45786.208333333343</v>
      </c>
      <c r="AN357">
        <v>1</v>
      </c>
      <c r="AO357" s="3"/>
      <c r="AT357" t="b">
        <v>0</v>
      </c>
      <c r="AU357" t="s">
        <v>74</v>
      </c>
      <c r="AV357" t="b">
        <v>1</v>
      </c>
      <c r="AW357" t="b">
        <v>0</v>
      </c>
      <c r="AX357" s="5">
        <v>0</v>
      </c>
      <c r="AY357" s="3"/>
      <c r="AZ357" t="s">
        <v>67</v>
      </c>
      <c r="BA357" t="s">
        <v>67</v>
      </c>
      <c r="BB357" t="s">
        <v>317</v>
      </c>
    </row>
    <row r="358" spans="1:54" x14ac:dyDescent="0.3">
      <c r="A358">
        <v>1</v>
      </c>
      <c r="B358">
        <v>15</v>
      </c>
      <c r="C358" t="s">
        <v>54</v>
      </c>
      <c r="D358" s="3">
        <v>45762.686921296299</v>
      </c>
      <c r="E358" s="8">
        <v>45786</v>
      </c>
      <c r="F358" t="s">
        <v>1541</v>
      </c>
      <c r="G358" t="s">
        <v>56</v>
      </c>
      <c r="H358" t="s">
        <v>1542</v>
      </c>
      <c r="I358" t="s">
        <v>1543</v>
      </c>
      <c r="J358" t="s">
        <v>59</v>
      </c>
      <c r="L358" t="s">
        <v>217</v>
      </c>
      <c r="M358" t="s">
        <v>63</v>
      </c>
      <c r="N358" t="s">
        <v>63</v>
      </c>
      <c r="O358" t="s">
        <v>228</v>
      </c>
      <c r="P358" t="s">
        <v>229</v>
      </c>
      <c r="Q358" s="5">
        <v>1</v>
      </c>
      <c r="R358" s="6">
        <v>135</v>
      </c>
      <c r="S358" s="6">
        <v>135</v>
      </c>
      <c r="T358" s="6">
        <v>90</v>
      </c>
      <c r="U358" s="3">
        <v>45812.3125</v>
      </c>
      <c r="W358" t="s">
        <v>1544</v>
      </c>
      <c r="X358" t="s">
        <v>67</v>
      </c>
      <c r="Y358" t="s">
        <v>68</v>
      </c>
      <c r="Z358" t="s">
        <v>69</v>
      </c>
      <c r="AA358" t="s">
        <v>69</v>
      </c>
      <c r="AB358" t="s">
        <v>70</v>
      </c>
      <c r="AC358" t="s">
        <v>70</v>
      </c>
      <c r="AD358" t="s">
        <v>71</v>
      </c>
      <c r="AE358" t="s">
        <v>84</v>
      </c>
      <c r="AF358" t="s">
        <v>67</v>
      </c>
      <c r="AG358" t="s">
        <v>228</v>
      </c>
      <c r="AH358" t="b">
        <v>0</v>
      </c>
      <c r="AI358" t="b">
        <v>0</v>
      </c>
      <c r="AJ358" t="b">
        <v>0</v>
      </c>
      <c r="AK358" t="b">
        <v>0</v>
      </c>
      <c r="AL358" s="6">
        <v>90</v>
      </c>
      <c r="AM358" s="3">
        <v>45799.458333333343</v>
      </c>
      <c r="AN358">
        <v>1</v>
      </c>
      <c r="AO358" s="3"/>
      <c r="AT358" t="b">
        <v>0</v>
      </c>
      <c r="AU358" t="s">
        <v>74</v>
      </c>
      <c r="AV358" t="b">
        <v>1</v>
      </c>
      <c r="AW358" t="b">
        <v>0</v>
      </c>
      <c r="AX358" s="5">
        <v>0</v>
      </c>
      <c r="AY358" s="3"/>
      <c r="AZ358" t="s">
        <v>67</v>
      </c>
      <c r="BA358" t="s">
        <v>67</v>
      </c>
      <c r="BB358" t="s">
        <v>317</v>
      </c>
    </row>
    <row r="359" spans="1:54" x14ac:dyDescent="0.3">
      <c r="A359">
        <v>1</v>
      </c>
      <c r="B359">
        <v>15</v>
      </c>
      <c r="C359" t="s">
        <v>54</v>
      </c>
      <c r="D359" s="3">
        <v>45770.637789351851</v>
      </c>
      <c r="E359" s="8">
        <v>45771</v>
      </c>
      <c r="F359" t="s">
        <v>1545</v>
      </c>
      <c r="G359" t="s">
        <v>56</v>
      </c>
      <c r="H359" t="s">
        <v>1546</v>
      </c>
      <c r="I359" t="s">
        <v>1547</v>
      </c>
      <c r="J359" t="s">
        <v>593</v>
      </c>
      <c r="K359" t="s">
        <v>1548</v>
      </c>
      <c r="L359" t="s">
        <v>595</v>
      </c>
      <c r="M359" t="s">
        <v>312</v>
      </c>
      <c r="N359" t="s">
        <v>312</v>
      </c>
      <c r="O359" t="s">
        <v>313</v>
      </c>
      <c r="P359" t="s">
        <v>314</v>
      </c>
      <c r="Q359" s="5">
        <v>1</v>
      </c>
      <c r="R359" s="6">
        <v>100</v>
      </c>
      <c r="S359" s="6">
        <v>100</v>
      </c>
      <c r="T359" s="6">
        <v>0</v>
      </c>
      <c r="U359" s="3">
        <v>46266.486111111109</v>
      </c>
      <c r="W359" t="s">
        <v>1549</v>
      </c>
      <c r="X359" t="s">
        <v>70</v>
      </c>
      <c r="Y359" t="s">
        <v>23</v>
      </c>
      <c r="Z359" t="s">
        <v>69</v>
      </c>
      <c r="AA359" t="s">
        <v>69</v>
      </c>
      <c r="AB359" t="s">
        <v>67</v>
      </c>
      <c r="AC359" t="s">
        <v>70</v>
      </c>
      <c r="AD359" t="s">
        <v>316</v>
      </c>
      <c r="AE359" t="s">
        <v>102</v>
      </c>
      <c r="AF359" t="s">
        <v>67</v>
      </c>
      <c r="AH359" t="b">
        <v>1</v>
      </c>
      <c r="AI359" t="b">
        <v>1</v>
      </c>
      <c r="AJ359" t="b">
        <v>0</v>
      </c>
      <c r="AK359" t="b">
        <v>1</v>
      </c>
      <c r="AL359" s="6">
        <v>0</v>
      </c>
      <c r="AM359" s="3">
        <v>46037.458333333343</v>
      </c>
      <c r="AN359">
        <v>1</v>
      </c>
      <c r="AO359" s="3"/>
      <c r="AT359" t="b">
        <v>0</v>
      </c>
      <c r="AU359" t="s">
        <v>74</v>
      </c>
      <c r="AV359" t="b">
        <v>1</v>
      </c>
      <c r="AW359" t="b">
        <v>0</v>
      </c>
      <c r="AX359" s="5">
        <v>0</v>
      </c>
      <c r="AY359" s="3"/>
      <c r="AZ359" t="s">
        <v>67</v>
      </c>
      <c r="BA359" t="s">
        <v>67</v>
      </c>
      <c r="BB359" t="s">
        <v>317</v>
      </c>
    </row>
    <row r="360" spans="1:54" x14ac:dyDescent="0.3">
      <c r="A360">
        <v>1</v>
      </c>
      <c r="B360">
        <v>15</v>
      </c>
      <c r="C360" t="s">
        <v>54</v>
      </c>
      <c r="D360" s="3">
        <v>45770.652118055557</v>
      </c>
      <c r="E360" s="8">
        <v>45770</v>
      </c>
      <c r="F360" t="s">
        <v>1550</v>
      </c>
      <c r="G360" t="s">
        <v>56</v>
      </c>
      <c r="H360" t="s">
        <v>1551</v>
      </c>
      <c r="I360" t="s">
        <v>1552</v>
      </c>
      <c r="J360" t="s">
        <v>593</v>
      </c>
      <c r="K360" t="s">
        <v>1553</v>
      </c>
      <c r="L360" t="s">
        <v>600</v>
      </c>
      <c r="M360" t="s">
        <v>312</v>
      </c>
      <c r="N360" t="s">
        <v>312</v>
      </c>
      <c r="O360" t="s">
        <v>313</v>
      </c>
      <c r="P360" t="s">
        <v>314</v>
      </c>
      <c r="Q360" s="5">
        <v>1</v>
      </c>
      <c r="R360" s="6">
        <v>100</v>
      </c>
      <c r="S360" s="6">
        <v>100</v>
      </c>
      <c r="T360" s="6">
        <v>0</v>
      </c>
      <c r="U360" s="3">
        <v>45787.291666666657</v>
      </c>
      <c r="W360" t="s">
        <v>1554</v>
      </c>
      <c r="X360" t="s">
        <v>70</v>
      </c>
      <c r="Y360" t="s">
        <v>23</v>
      </c>
      <c r="Z360" t="s">
        <v>69</v>
      </c>
      <c r="AA360" t="s">
        <v>69</v>
      </c>
      <c r="AB360" t="s">
        <v>67</v>
      </c>
      <c r="AC360" t="s">
        <v>70</v>
      </c>
      <c r="AD360" t="s">
        <v>316</v>
      </c>
      <c r="AE360" t="s">
        <v>102</v>
      </c>
      <c r="AF360" t="s">
        <v>67</v>
      </c>
      <c r="AH360" t="b">
        <v>1</v>
      </c>
      <c r="AI360" t="b">
        <v>1</v>
      </c>
      <c r="AJ360" t="b">
        <v>0</v>
      </c>
      <c r="AK360" t="b">
        <v>1</v>
      </c>
      <c r="AL360" s="6">
        <v>0</v>
      </c>
      <c r="AM360" s="3">
        <v>45772.229166666657</v>
      </c>
      <c r="AN360">
        <v>1</v>
      </c>
      <c r="AO360" s="3"/>
      <c r="AT360" t="b">
        <v>0</v>
      </c>
      <c r="AU360" t="s">
        <v>74</v>
      </c>
      <c r="AV360" t="b">
        <v>1</v>
      </c>
      <c r="AW360" t="b">
        <v>0</v>
      </c>
      <c r="AX360" s="5">
        <v>0</v>
      </c>
      <c r="AY360" s="3"/>
      <c r="AZ360" t="s">
        <v>67</v>
      </c>
      <c r="BA360" t="s">
        <v>67</v>
      </c>
      <c r="BB360" t="s">
        <v>317</v>
      </c>
    </row>
    <row r="361" spans="1:54" x14ac:dyDescent="0.3">
      <c r="A361">
        <v>1</v>
      </c>
      <c r="B361">
        <v>15</v>
      </c>
      <c r="C361" t="s">
        <v>54</v>
      </c>
      <c r="D361" s="3">
        <v>45770.652141203696</v>
      </c>
      <c r="E361" s="8">
        <v>45770</v>
      </c>
      <c r="F361" t="s">
        <v>1555</v>
      </c>
      <c r="G361" t="s">
        <v>56</v>
      </c>
      <c r="H361" t="s">
        <v>1556</v>
      </c>
      <c r="I361" t="s">
        <v>1557</v>
      </c>
      <c r="J361" t="s">
        <v>593</v>
      </c>
      <c r="K361" t="s">
        <v>684</v>
      </c>
      <c r="L361" t="s">
        <v>595</v>
      </c>
      <c r="M361" t="s">
        <v>312</v>
      </c>
      <c r="N361" t="s">
        <v>312</v>
      </c>
      <c r="O361" t="s">
        <v>313</v>
      </c>
      <c r="P361" t="s">
        <v>314</v>
      </c>
      <c r="Q361" s="5">
        <v>1</v>
      </c>
      <c r="R361" s="6">
        <v>100</v>
      </c>
      <c r="S361" s="6">
        <v>100</v>
      </c>
      <c r="T361" s="6">
        <v>0</v>
      </c>
      <c r="U361" s="3">
        <v>46048.5</v>
      </c>
      <c r="W361" t="s">
        <v>1558</v>
      </c>
      <c r="X361" t="s">
        <v>70</v>
      </c>
      <c r="Y361" t="s">
        <v>23</v>
      </c>
      <c r="Z361" t="s">
        <v>69</v>
      </c>
      <c r="AA361" t="s">
        <v>69</v>
      </c>
      <c r="AB361" t="s">
        <v>70</v>
      </c>
      <c r="AC361" t="s">
        <v>70</v>
      </c>
      <c r="AD361" t="s">
        <v>316</v>
      </c>
      <c r="AE361" t="s">
        <v>102</v>
      </c>
      <c r="AF361" t="s">
        <v>67</v>
      </c>
      <c r="AH361" t="b">
        <v>0</v>
      </c>
      <c r="AI361" t="b">
        <v>0</v>
      </c>
      <c r="AJ361" t="b">
        <v>0</v>
      </c>
      <c r="AK361" t="b">
        <v>0</v>
      </c>
      <c r="AL361" s="6">
        <v>0</v>
      </c>
      <c r="AM361" s="3">
        <v>46036.291666666657</v>
      </c>
      <c r="AN361">
        <v>1</v>
      </c>
      <c r="AO361" s="3"/>
      <c r="AT361" t="b">
        <v>0</v>
      </c>
      <c r="AU361" t="s">
        <v>74</v>
      </c>
      <c r="AV361" t="b">
        <v>1</v>
      </c>
      <c r="AW361" t="b">
        <v>0</v>
      </c>
      <c r="AX361" s="5">
        <v>0</v>
      </c>
      <c r="AY361" s="3"/>
      <c r="AZ361" t="s">
        <v>67</v>
      </c>
      <c r="BA361" t="s">
        <v>67</v>
      </c>
      <c r="BB361" t="s">
        <v>317</v>
      </c>
    </row>
    <row r="362" spans="1:54" x14ac:dyDescent="0.3">
      <c r="A362">
        <v>1</v>
      </c>
      <c r="B362">
        <v>15</v>
      </c>
      <c r="C362" t="s">
        <v>54</v>
      </c>
      <c r="D362" s="3">
        <v>45770.659212962957</v>
      </c>
      <c r="E362" s="8">
        <v>45770</v>
      </c>
      <c r="F362" t="s">
        <v>1559</v>
      </c>
      <c r="G362" t="s">
        <v>56</v>
      </c>
      <c r="H362" t="s">
        <v>834</v>
      </c>
      <c r="I362" t="s">
        <v>835</v>
      </c>
      <c r="J362" t="s">
        <v>593</v>
      </c>
      <c r="K362" t="s">
        <v>714</v>
      </c>
      <c r="L362" t="s">
        <v>600</v>
      </c>
      <c r="M362" t="s">
        <v>312</v>
      </c>
      <c r="N362" t="s">
        <v>312</v>
      </c>
      <c r="O362" t="s">
        <v>313</v>
      </c>
      <c r="P362" t="s">
        <v>314</v>
      </c>
      <c r="Q362" s="5">
        <v>1</v>
      </c>
      <c r="R362" s="6">
        <v>100</v>
      </c>
      <c r="S362" s="6">
        <v>100</v>
      </c>
      <c r="T362" s="6">
        <v>0</v>
      </c>
      <c r="U362" s="3">
        <v>45968.46875</v>
      </c>
      <c r="W362" t="s">
        <v>836</v>
      </c>
      <c r="X362" t="s">
        <v>70</v>
      </c>
      <c r="Y362" t="s">
        <v>23</v>
      </c>
      <c r="Z362" t="s">
        <v>69</v>
      </c>
      <c r="AA362" t="s">
        <v>69</v>
      </c>
      <c r="AB362" t="s">
        <v>67</v>
      </c>
      <c r="AC362" t="s">
        <v>70</v>
      </c>
      <c r="AD362" t="s">
        <v>316</v>
      </c>
      <c r="AE362" t="s">
        <v>102</v>
      </c>
      <c r="AF362" t="s">
        <v>67</v>
      </c>
      <c r="AH362" t="b">
        <v>1</v>
      </c>
      <c r="AI362" t="b">
        <v>0</v>
      </c>
      <c r="AJ362" t="b">
        <v>0</v>
      </c>
      <c r="AK362" t="b">
        <v>0</v>
      </c>
      <c r="AL362" s="6">
        <v>0</v>
      </c>
      <c r="AM362" s="3">
        <v>45855.458333333343</v>
      </c>
      <c r="AN362">
        <v>1</v>
      </c>
      <c r="AO362" s="3"/>
      <c r="AT362" t="b">
        <v>0</v>
      </c>
      <c r="AU362" t="s">
        <v>74</v>
      </c>
      <c r="AV362" t="b">
        <v>1</v>
      </c>
      <c r="AW362" t="b">
        <v>0</v>
      </c>
      <c r="AX362" s="5">
        <v>0</v>
      </c>
      <c r="AY362" s="3"/>
      <c r="AZ362" t="s">
        <v>67</v>
      </c>
      <c r="BA362" t="s">
        <v>67</v>
      </c>
      <c r="BB362" t="s">
        <v>317</v>
      </c>
    </row>
    <row r="363" spans="1:54" x14ac:dyDescent="0.3">
      <c r="A363">
        <v>1</v>
      </c>
      <c r="B363">
        <v>15</v>
      </c>
      <c r="C363" t="s">
        <v>54</v>
      </c>
      <c r="D363" s="3">
        <v>45770.674155092587</v>
      </c>
      <c r="E363" s="8">
        <v>45800</v>
      </c>
      <c r="F363" t="s">
        <v>1560</v>
      </c>
      <c r="G363" t="s">
        <v>56</v>
      </c>
      <c r="H363" t="s">
        <v>1561</v>
      </c>
      <c r="I363" t="s">
        <v>1562</v>
      </c>
      <c r="J363" t="s">
        <v>593</v>
      </c>
      <c r="L363" t="s">
        <v>600</v>
      </c>
      <c r="M363" t="s">
        <v>312</v>
      </c>
      <c r="N363" t="s">
        <v>312</v>
      </c>
      <c r="O363" t="s">
        <v>313</v>
      </c>
      <c r="P363" t="s">
        <v>314</v>
      </c>
      <c r="Q363" s="5">
        <v>1</v>
      </c>
      <c r="R363" s="6">
        <v>100</v>
      </c>
      <c r="S363" s="6">
        <v>100</v>
      </c>
      <c r="T363" s="6">
        <v>0</v>
      </c>
      <c r="U363" s="3">
        <v>46252.5</v>
      </c>
      <c r="W363" t="s">
        <v>1563</v>
      </c>
      <c r="X363" t="s">
        <v>70</v>
      </c>
      <c r="Y363" t="s">
        <v>23</v>
      </c>
      <c r="Z363" t="s">
        <v>69</v>
      </c>
      <c r="AA363" t="s">
        <v>69</v>
      </c>
      <c r="AB363" t="s">
        <v>70</v>
      </c>
      <c r="AC363" t="s">
        <v>70</v>
      </c>
      <c r="AD363" t="s">
        <v>316</v>
      </c>
      <c r="AE363" t="s">
        <v>102</v>
      </c>
      <c r="AF363" t="s">
        <v>67</v>
      </c>
      <c r="AH363" t="b">
        <v>1</v>
      </c>
      <c r="AI363" t="b">
        <v>1</v>
      </c>
      <c r="AJ363" t="b">
        <v>0</v>
      </c>
      <c r="AK363" t="b">
        <v>1</v>
      </c>
      <c r="AL363" s="6">
        <v>0</v>
      </c>
      <c r="AM363" s="3">
        <v>45889.458333333343</v>
      </c>
      <c r="AN363">
        <v>1</v>
      </c>
      <c r="AO363" s="3"/>
      <c r="AT363" t="b">
        <v>0</v>
      </c>
      <c r="AU363" t="s">
        <v>74</v>
      </c>
      <c r="AV363" t="b">
        <v>1</v>
      </c>
      <c r="AW363" t="b">
        <v>0</v>
      </c>
      <c r="AX363" s="5">
        <v>0</v>
      </c>
      <c r="AY363" s="3"/>
      <c r="AZ363" t="s">
        <v>67</v>
      </c>
      <c r="BA363" t="s">
        <v>67</v>
      </c>
      <c r="BB363" t="s">
        <v>317</v>
      </c>
    </row>
    <row r="364" spans="1:54" x14ac:dyDescent="0.3">
      <c r="A364">
        <v>1</v>
      </c>
      <c r="B364">
        <v>15</v>
      </c>
      <c r="C364" t="s">
        <v>54</v>
      </c>
      <c r="D364" s="3">
        <v>45770.675856481481</v>
      </c>
      <c r="E364" s="8">
        <v>45799</v>
      </c>
      <c r="F364" t="s">
        <v>1564</v>
      </c>
      <c r="G364" t="s">
        <v>56</v>
      </c>
      <c r="H364" t="s">
        <v>1565</v>
      </c>
      <c r="I364" t="s">
        <v>1566</v>
      </c>
      <c r="J364" t="s">
        <v>593</v>
      </c>
      <c r="K364" t="s">
        <v>620</v>
      </c>
      <c r="L364" t="s">
        <v>595</v>
      </c>
      <c r="M364" t="s">
        <v>312</v>
      </c>
      <c r="N364" t="s">
        <v>312</v>
      </c>
      <c r="O364" t="s">
        <v>313</v>
      </c>
      <c r="P364" t="s">
        <v>314</v>
      </c>
      <c r="Q364" s="5">
        <v>1</v>
      </c>
      <c r="R364" s="6">
        <v>100</v>
      </c>
      <c r="S364" s="6">
        <v>100</v>
      </c>
      <c r="T364" s="6">
        <v>0</v>
      </c>
      <c r="U364" s="3">
        <v>45799.458333333343</v>
      </c>
      <c r="W364" t="s">
        <v>1567</v>
      </c>
      <c r="X364" t="s">
        <v>70</v>
      </c>
      <c r="Y364" t="s">
        <v>23</v>
      </c>
      <c r="Z364" t="s">
        <v>69</v>
      </c>
      <c r="AA364" t="s">
        <v>69</v>
      </c>
      <c r="AB364" t="s">
        <v>67</v>
      </c>
      <c r="AC364" t="s">
        <v>70</v>
      </c>
      <c r="AD364" t="s">
        <v>316</v>
      </c>
      <c r="AE364" t="s">
        <v>102</v>
      </c>
      <c r="AF364" t="s">
        <v>67</v>
      </c>
      <c r="AH364" t="b">
        <v>1</v>
      </c>
      <c r="AI364" t="b">
        <v>1</v>
      </c>
      <c r="AJ364" t="b">
        <v>0</v>
      </c>
      <c r="AK364" t="b">
        <v>1</v>
      </c>
      <c r="AL364" s="6">
        <v>0</v>
      </c>
      <c r="AM364" s="3">
        <v>45799.458333333343</v>
      </c>
      <c r="AN364">
        <v>1</v>
      </c>
      <c r="AO364" s="3"/>
      <c r="AT364" t="b">
        <v>0</v>
      </c>
      <c r="AU364" t="s">
        <v>74</v>
      </c>
      <c r="AV364" t="b">
        <v>1</v>
      </c>
      <c r="AW364" t="b">
        <v>0</v>
      </c>
      <c r="AX364" s="5">
        <v>0</v>
      </c>
      <c r="AY364" s="3"/>
      <c r="AZ364" t="s">
        <v>67</v>
      </c>
      <c r="BA364" t="s">
        <v>67</v>
      </c>
      <c r="BB364" t="s">
        <v>317</v>
      </c>
    </row>
    <row r="365" spans="1:54" x14ac:dyDescent="0.3">
      <c r="A365">
        <v>1</v>
      </c>
      <c r="B365">
        <v>15</v>
      </c>
      <c r="C365" t="s">
        <v>54</v>
      </c>
      <c r="D365" s="3">
        <v>45770.685543981483</v>
      </c>
      <c r="E365" s="8">
        <v>45771</v>
      </c>
      <c r="F365" t="s">
        <v>1568</v>
      </c>
      <c r="G365" t="s">
        <v>56</v>
      </c>
      <c r="H365" t="s">
        <v>1569</v>
      </c>
      <c r="I365" t="s">
        <v>1570</v>
      </c>
      <c r="J365" t="s">
        <v>593</v>
      </c>
      <c r="K365" t="s">
        <v>790</v>
      </c>
      <c r="L365" t="s">
        <v>595</v>
      </c>
      <c r="M365" t="s">
        <v>312</v>
      </c>
      <c r="N365" t="s">
        <v>312</v>
      </c>
      <c r="O365" t="s">
        <v>313</v>
      </c>
      <c r="P365" t="s">
        <v>314</v>
      </c>
      <c r="Q365" s="5">
        <v>1</v>
      </c>
      <c r="R365" s="6">
        <v>100</v>
      </c>
      <c r="S365" s="6">
        <v>100</v>
      </c>
      <c r="T365" s="6">
        <v>0</v>
      </c>
      <c r="U365" s="3">
        <v>45771.25</v>
      </c>
      <c r="W365" t="s">
        <v>1571</v>
      </c>
      <c r="X365" t="s">
        <v>70</v>
      </c>
      <c r="Y365" t="s">
        <v>23</v>
      </c>
      <c r="Z365" t="s">
        <v>69</v>
      </c>
      <c r="AA365" t="s">
        <v>69</v>
      </c>
      <c r="AB365" t="s">
        <v>70</v>
      </c>
      <c r="AC365" t="s">
        <v>70</v>
      </c>
      <c r="AD365" t="s">
        <v>316</v>
      </c>
      <c r="AE365" t="s">
        <v>102</v>
      </c>
      <c r="AF365" t="s">
        <v>67</v>
      </c>
      <c r="AH365" t="b">
        <v>1</v>
      </c>
      <c r="AI365" t="b">
        <v>1</v>
      </c>
      <c r="AJ365" t="b">
        <v>0</v>
      </c>
      <c r="AK365" t="b">
        <v>1</v>
      </c>
      <c r="AL365" s="6">
        <v>0</v>
      </c>
      <c r="AM365" s="3">
        <v>45771.25</v>
      </c>
      <c r="AN365">
        <v>1</v>
      </c>
      <c r="AO365" s="3"/>
      <c r="AT365" t="b">
        <v>0</v>
      </c>
      <c r="AU365" t="s">
        <v>74</v>
      </c>
      <c r="AV365" t="b">
        <v>1</v>
      </c>
      <c r="AW365" t="b">
        <v>0</v>
      </c>
      <c r="AX365" s="5">
        <v>0</v>
      </c>
      <c r="AY365" s="3"/>
      <c r="AZ365" t="s">
        <v>67</v>
      </c>
      <c r="BA365" t="s">
        <v>67</v>
      </c>
      <c r="BB365" t="s">
        <v>317</v>
      </c>
    </row>
    <row r="366" spans="1:54" x14ac:dyDescent="0.3">
      <c r="A366">
        <v>1</v>
      </c>
      <c r="B366">
        <v>15</v>
      </c>
      <c r="C366" t="s">
        <v>54</v>
      </c>
      <c r="D366" s="3">
        <v>45770.688750000001</v>
      </c>
      <c r="E366" s="8">
        <v>45771</v>
      </c>
      <c r="F366" t="s">
        <v>1572</v>
      </c>
      <c r="G366" t="s">
        <v>56</v>
      </c>
      <c r="H366" t="s">
        <v>1573</v>
      </c>
      <c r="I366" t="s">
        <v>1574</v>
      </c>
      <c r="J366" t="s">
        <v>593</v>
      </c>
      <c r="K366" t="s">
        <v>864</v>
      </c>
      <c r="L366" t="s">
        <v>595</v>
      </c>
      <c r="M366" t="s">
        <v>312</v>
      </c>
      <c r="N366" t="s">
        <v>312</v>
      </c>
      <c r="O366" t="s">
        <v>313</v>
      </c>
      <c r="P366" t="s">
        <v>314</v>
      </c>
      <c r="Q366" s="5">
        <v>1</v>
      </c>
      <c r="R366" s="6">
        <v>100</v>
      </c>
      <c r="S366" s="6">
        <v>100</v>
      </c>
      <c r="T366" s="6">
        <v>0</v>
      </c>
      <c r="U366" s="3">
        <v>46288.25</v>
      </c>
      <c r="W366" t="s">
        <v>1575</v>
      </c>
      <c r="X366" t="s">
        <v>70</v>
      </c>
      <c r="Y366" t="s">
        <v>23</v>
      </c>
      <c r="Z366" t="s">
        <v>69</v>
      </c>
      <c r="AA366" t="s">
        <v>69</v>
      </c>
      <c r="AB366" t="s">
        <v>70</v>
      </c>
      <c r="AC366" t="s">
        <v>70</v>
      </c>
      <c r="AD366" t="s">
        <v>316</v>
      </c>
      <c r="AE366" t="s">
        <v>102</v>
      </c>
      <c r="AF366" t="s">
        <v>67</v>
      </c>
      <c r="AH366" t="b">
        <v>1</v>
      </c>
      <c r="AI366" t="b">
        <v>1</v>
      </c>
      <c r="AJ366" t="b">
        <v>0</v>
      </c>
      <c r="AK366" t="b">
        <v>1</v>
      </c>
      <c r="AL366" s="6">
        <v>0</v>
      </c>
      <c r="AM366" s="3">
        <v>46288.25</v>
      </c>
      <c r="AN366">
        <v>1</v>
      </c>
      <c r="AO366" s="3"/>
      <c r="AT366" t="b">
        <v>0</v>
      </c>
      <c r="AU366" t="s">
        <v>74</v>
      </c>
      <c r="AV366" t="b">
        <v>1</v>
      </c>
      <c r="AW366" t="b">
        <v>0</v>
      </c>
      <c r="AX366" s="5">
        <v>0</v>
      </c>
      <c r="AY366" s="3"/>
      <c r="AZ366" t="s">
        <v>67</v>
      </c>
      <c r="BA366" t="s">
        <v>67</v>
      </c>
      <c r="BB366" t="s">
        <v>317</v>
      </c>
    </row>
    <row r="367" spans="1:54" x14ac:dyDescent="0.3">
      <c r="A367">
        <v>1</v>
      </c>
      <c r="B367">
        <v>15</v>
      </c>
      <c r="C367" t="s">
        <v>54</v>
      </c>
      <c r="D367" s="3">
        <v>45770.695983796293</v>
      </c>
      <c r="E367" s="8">
        <v>45772</v>
      </c>
      <c r="F367" t="s">
        <v>1576</v>
      </c>
      <c r="G367" t="s">
        <v>56</v>
      </c>
      <c r="H367" t="s">
        <v>1577</v>
      </c>
      <c r="I367" t="s">
        <v>1578</v>
      </c>
      <c r="J367" t="s">
        <v>593</v>
      </c>
      <c r="K367" t="s">
        <v>796</v>
      </c>
      <c r="L367" t="s">
        <v>595</v>
      </c>
      <c r="M367" t="s">
        <v>312</v>
      </c>
      <c r="N367" t="s">
        <v>312</v>
      </c>
      <c r="O367" t="s">
        <v>313</v>
      </c>
      <c r="P367" t="s">
        <v>314</v>
      </c>
      <c r="Q367" s="5">
        <v>1</v>
      </c>
      <c r="R367" s="6">
        <v>100</v>
      </c>
      <c r="S367" s="6">
        <v>100</v>
      </c>
      <c r="T367" s="6">
        <v>0</v>
      </c>
      <c r="U367" s="3">
        <v>45772.458333333343</v>
      </c>
      <c r="W367" t="s">
        <v>1579</v>
      </c>
      <c r="X367" t="s">
        <v>70</v>
      </c>
      <c r="Y367" t="s">
        <v>23</v>
      </c>
      <c r="Z367" t="s">
        <v>69</v>
      </c>
      <c r="AA367" t="s">
        <v>69</v>
      </c>
      <c r="AB367" t="s">
        <v>70</v>
      </c>
      <c r="AC367" t="s">
        <v>70</v>
      </c>
      <c r="AD367" t="s">
        <v>316</v>
      </c>
      <c r="AE367" t="s">
        <v>102</v>
      </c>
      <c r="AF367" t="s">
        <v>67</v>
      </c>
      <c r="AH367" t="b">
        <v>1</v>
      </c>
      <c r="AI367" t="b">
        <v>1</v>
      </c>
      <c r="AJ367" t="b">
        <v>0</v>
      </c>
      <c r="AK367" t="b">
        <v>1</v>
      </c>
      <c r="AL367" s="6">
        <v>0</v>
      </c>
      <c r="AM367" s="3">
        <v>45772.458333333343</v>
      </c>
      <c r="AN367">
        <v>1</v>
      </c>
      <c r="AO367" s="3"/>
      <c r="AT367" t="b">
        <v>0</v>
      </c>
      <c r="AU367" t="s">
        <v>74</v>
      </c>
      <c r="AV367" t="b">
        <v>1</v>
      </c>
      <c r="AW367" t="b">
        <v>0</v>
      </c>
      <c r="AX367" s="5">
        <v>0</v>
      </c>
      <c r="AY367" s="3"/>
      <c r="AZ367" t="s">
        <v>67</v>
      </c>
      <c r="BA367" t="s">
        <v>67</v>
      </c>
      <c r="BB367" t="s">
        <v>317</v>
      </c>
    </row>
    <row r="368" spans="1:54" x14ac:dyDescent="0.3">
      <c r="A368">
        <v>1</v>
      </c>
      <c r="B368">
        <v>15</v>
      </c>
      <c r="C368" t="s">
        <v>54</v>
      </c>
      <c r="D368" s="3">
        <v>45770.712060185193</v>
      </c>
      <c r="E368" s="8">
        <v>45771</v>
      </c>
      <c r="F368" t="s">
        <v>1580</v>
      </c>
      <c r="G368" t="s">
        <v>56</v>
      </c>
      <c r="H368" t="s">
        <v>1581</v>
      </c>
      <c r="I368" t="s">
        <v>1582</v>
      </c>
      <c r="J368" t="s">
        <v>593</v>
      </c>
      <c r="K368" t="s">
        <v>412</v>
      </c>
      <c r="L368" t="s">
        <v>595</v>
      </c>
      <c r="M368" t="s">
        <v>312</v>
      </c>
      <c r="N368" t="s">
        <v>312</v>
      </c>
      <c r="O368" t="s">
        <v>313</v>
      </c>
      <c r="P368" t="s">
        <v>314</v>
      </c>
      <c r="Q368" s="5">
        <v>1</v>
      </c>
      <c r="R368" s="6">
        <v>100</v>
      </c>
      <c r="S368" s="6">
        <v>100</v>
      </c>
      <c r="T368" s="6">
        <v>0</v>
      </c>
      <c r="U368" s="3">
        <v>46151.486111111109</v>
      </c>
      <c r="W368" t="s">
        <v>1583</v>
      </c>
      <c r="X368" t="s">
        <v>70</v>
      </c>
      <c r="Y368" t="s">
        <v>23</v>
      </c>
      <c r="Z368" t="s">
        <v>69</v>
      </c>
      <c r="AA368" t="s">
        <v>69</v>
      </c>
      <c r="AB368" t="s">
        <v>70</v>
      </c>
      <c r="AC368" t="s">
        <v>70</v>
      </c>
      <c r="AD368" t="s">
        <v>316</v>
      </c>
      <c r="AE368" t="s">
        <v>102</v>
      </c>
      <c r="AF368" t="s">
        <v>67</v>
      </c>
      <c r="AH368" t="b">
        <v>1</v>
      </c>
      <c r="AI368" t="b">
        <v>0</v>
      </c>
      <c r="AJ368" t="b">
        <v>0</v>
      </c>
      <c r="AK368" t="b">
        <v>0</v>
      </c>
      <c r="AL368" s="6">
        <v>0</v>
      </c>
      <c r="AM368" s="3">
        <v>45952.25</v>
      </c>
      <c r="AN368">
        <v>1</v>
      </c>
      <c r="AO368" s="3"/>
      <c r="AT368" t="b">
        <v>0</v>
      </c>
      <c r="AU368" t="s">
        <v>74</v>
      </c>
      <c r="AV368" t="b">
        <v>1</v>
      </c>
      <c r="AW368" t="b">
        <v>0</v>
      </c>
      <c r="AX368" s="5">
        <v>0</v>
      </c>
      <c r="AY368" s="3"/>
      <c r="AZ368" t="s">
        <v>67</v>
      </c>
      <c r="BA368" t="s">
        <v>67</v>
      </c>
      <c r="BB368" t="s">
        <v>317</v>
      </c>
    </row>
    <row r="369" spans="1:54" x14ac:dyDescent="0.3">
      <c r="A369">
        <v>1</v>
      </c>
      <c r="B369">
        <v>15</v>
      </c>
      <c r="C369" t="s">
        <v>54</v>
      </c>
      <c r="D369" s="3">
        <v>45770.716400462959</v>
      </c>
      <c r="E369" s="8">
        <v>45855</v>
      </c>
      <c r="F369" t="s">
        <v>1584</v>
      </c>
      <c r="G369" t="s">
        <v>56</v>
      </c>
      <c r="H369" t="s">
        <v>1585</v>
      </c>
      <c r="I369" t="s">
        <v>1586</v>
      </c>
      <c r="J369" t="s">
        <v>593</v>
      </c>
      <c r="K369" t="s">
        <v>731</v>
      </c>
      <c r="L369" t="s">
        <v>595</v>
      </c>
      <c r="M369" t="s">
        <v>312</v>
      </c>
      <c r="N369" t="s">
        <v>312</v>
      </c>
      <c r="O369" t="s">
        <v>313</v>
      </c>
      <c r="P369" t="s">
        <v>314</v>
      </c>
      <c r="Q369" s="5">
        <v>1</v>
      </c>
      <c r="R369" s="6">
        <v>100</v>
      </c>
      <c r="S369" s="6">
        <v>100</v>
      </c>
      <c r="T369" s="6">
        <v>0</v>
      </c>
      <c r="U369" s="3">
        <v>46185.25</v>
      </c>
      <c r="W369" t="s">
        <v>1587</v>
      </c>
      <c r="X369" t="s">
        <v>70</v>
      </c>
      <c r="Y369" t="s">
        <v>23</v>
      </c>
      <c r="Z369" t="s">
        <v>69</v>
      </c>
      <c r="AA369" t="s">
        <v>69</v>
      </c>
      <c r="AB369" t="s">
        <v>67</v>
      </c>
      <c r="AC369" t="s">
        <v>70</v>
      </c>
      <c r="AD369" t="s">
        <v>316</v>
      </c>
      <c r="AE369" t="s">
        <v>102</v>
      </c>
      <c r="AF369" t="s">
        <v>67</v>
      </c>
      <c r="AH369" t="b">
        <v>1</v>
      </c>
      <c r="AI369" t="b">
        <v>1</v>
      </c>
      <c r="AJ369" t="b">
        <v>0</v>
      </c>
      <c r="AK369" t="b">
        <v>1</v>
      </c>
      <c r="AL369" s="6">
        <v>0</v>
      </c>
      <c r="AM369" s="3">
        <v>46009.25</v>
      </c>
      <c r="AN369">
        <v>1</v>
      </c>
      <c r="AO369" s="3"/>
      <c r="AT369" t="b">
        <v>0</v>
      </c>
      <c r="AU369" t="s">
        <v>74</v>
      </c>
      <c r="AV369" t="b">
        <v>1</v>
      </c>
      <c r="AW369" t="b">
        <v>0</v>
      </c>
      <c r="AX369" s="5">
        <v>0</v>
      </c>
      <c r="AY369" s="3"/>
      <c r="AZ369" t="s">
        <v>67</v>
      </c>
      <c r="BA369" t="s">
        <v>67</v>
      </c>
      <c r="BB369" t="s">
        <v>317</v>
      </c>
    </row>
    <row r="370" spans="1:54" x14ac:dyDescent="0.3">
      <c r="A370">
        <v>1</v>
      </c>
      <c r="B370">
        <v>15</v>
      </c>
      <c r="C370" t="s">
        <v>54</v>
      </c>
      <c r="D370" s="3">
        <v>45770.721435185187</v>
      </c>
      <c r="E370" s="8">
        <v>45771</v>
      </c>
      <c r="F370" t="s">
        <v>1588</v>
      </c>
      <c r="G370" t="s">
        <v>56</v>
      </c>
      <c r="H370" t="s">
        <v>1589</v>
      </c>
      <c r="I370" t="s">
        <v>1590</v>
      </c>
      <c r="J370" t="s">
        <v>593</v>
      </c>
      <c r="K370" t="s">
        <v>1591</v>
      </c>
      <c r="L370" t="s">
        <v>600</v>
      </c>
      <c r="M370" t="s">
        <v>312</v>
      </c>
      <c r="N370" t="s">
        <v>312</v>
      </c>
      <c r="O370" t="s">
        <v>313</v>
      </c>
      <c r="P370" t="s">
        <v>314</v>
      </c>
      <c r="Q370" s="5">
        <v>1</v>
      </c>
      <c r="R370" s="6">
        <v>100</v>
      </c>
      <c r="S370" s="6">
        <v>100</v>
      </c>
      <c r="T370" s="6">
        <v>0</v>
      </c>
      <c r="U370" s="3">
        <v>46297.458333333343</v>
      </c>
      <c r="W370" t="s">
        <v>1592</v>
      </c>
      <c r="X370" t="s">
        <v>70</v>
      </c>
      <c r="Y370" t="s">
        <v>23</v>
      </c>
      <c r="Z370" t="s">
        <v>69</v>
      </c>
      <c r="AA370" t="s">
        <v>69</v>
      </c>
      <c r="AB370" t="s">
        <v>67</v>
      </c>
      <c r="AC370" t="s">
        <v>70</v>
      </c>
      <c r="AD370" t="s">
        <v>316</v>
      </c>
      <c r="AE370" t="s">
        <v>102</v>
      </c>
      <c r="AF370" t="s">
        <v>67</v>
      </c>
      <c r="AH370" t="b">
        <v>1</v>
      </c>
      <c r="AI370" t="b">
        <v>1</v>
      </c>
      <c r="AJ370" t="b">
        <v>0</v>
      </c>
      <c r="AK370" t="b">
        <v>1</v>
      </c>
      <c r="AL370" s="6">
        <v>0</v>
      </c>
      <c r="AM370" s="3">
        <v>45771.479166666657</v>
      </c>
      <c r="AN370">
        <v>1</v>
      </c>
      <c r="AO370" s="3"/>
      <c r="AT370" t="b">
        <v>0</v>
      </c>
      <c r="AU370" t="s">
        <v>74</v>
      </c>
      <c r="AV370" t="b">
        <v>1</v>
      </c>
      <c r="AW370" t="b">
        <v>0</v>
      </c>
      <c r="AX370" s="5">
        <v>0</v>
      </c>
      <c r="AY370" s="3"/>
      <c r="AZ370" t="s">
        <v>67</v>
      </c>
      <c r="BA370" t="s">
        <v>67</v>
      </c>
      <c r="BB370" t="s">
        <v>317</v>
      </c>
    </row>
    <row r="371" spans="1:54" x14ac:dyDescent="0.3">
      <c r="A371">
        <v>1</v>
      </c>
      <c r="B371">
        <v>15</v>
      </c>
      <c r="C371" t="s">
        <v>54</v>
      </c>
      <c r="D371" s="3">
        <v>45770.728993055563</v>
      </c>
      <c r="E371" s="8">
        <v>45772</v>
      </c>
      <c r="F371" t="s">
        <v>1593</v>
      </c>
      <c r="G371" t="s">
        <v>56</v>
      </c>
      <c r="H371" t="s">
        <v>1594</v>
      </c>
      <c r="I371" t="s">
        <v>1595</v>
      </c>
      <c r="J371" t="s">
        <v>593</v>
      </c>
      <c r="K371" t="s">
        <v>629</v>
      </c>
      <c r="L371" t="s">
        <v>600</v>
      </c>
      <c r="M371" t="s">
        <v>312</v>
      </c>
      <c r="N371" t="s">
        <v>312</v>
      </c>
      <c r="O371" t="s">
        <v>313</v>
      </c>
      <c r="P371" t="s">
        <v>314</v>
      </c>
      <c r="Q371" s="5">
        <v>2</v>
      </c>
      <c r="R371" s="6">
        <v>100</v>
      </c>
      <c r="S371" s="6">
        <v>200</v>
      </c>
      <c r="T371" s="6">
        <v>0</v>
      </c>
      <c r="U371" s="3">
        <v>45834.25</v>
      </c>
      <c r="W371" t="s">
        <v>1596</v>
      </c>
      <c r="X371" t="s">
        <v>70</v>
      </c>
      <c r="Y371" t="s">
        <v>23</v>
      </c>
      <c r="Z371" t="s">
        <v>69</v>
      </c>
      <c r="AA371" t="s">
        <v>69</v>
      </c>
      <c r="AB371" t="s">
        <v>67</v>
      </c>
      <c r="AC371" t="s">
        <v>70</v>
      </c>
      <c r="AD371" t="s">
        <v>316</v>
      </c>
      <c r="AE371" t="s">
        <v>102</v>
      </c>
      <c r="AF371" t="s">
        <v>67</v>
      </c>
      <c r="AH371" t="b">
        <v>1</v>
      </c>
      <c r="AI371" t="b">
        <v>1</v>
      </c>
      <c r="AJ371" t="b">
        <v>0</v>
      </c>
      <c r="AK371" t="b">
        <v>1</v>
      </c>
      <c r="AL371" s="6">
        <v>0</v>
      </c>
      <c r="AM371" s="3">
        <v>45834.25</v>
      </c>
      <c r="AN371">
        <v>1</v>
      </c>
      <c r="AO371" s="3"/>
      <c r="AT371" t="b">
        <v>0</v>
      </c>
      <c r="AU371" t="s">
        <v>74</v>
      </c>
      <c r="AV371" t="b">
        <v>1</v>
      </c>
      <c r="AW371" t="b">
        <v>0</v>
      </c>
      <c r="AX371" s="5">
        <v>0</v>
      </c>
      <c r="AY371" s="3"/>
      <c r="AZ371" t="s">
        <v>67</v>
      </c>
      <c r="BA371" t="s">
        <v>67</v>
      </c>
      <c r="BB371" t="s">
        <v>317</v>
      </c>
    </row>
    <row r="372" spans="1:54" x14ac:dyDescent="0.3">
      <c r="A372">
        <v>1</v>
      </c>
      <c r="B372">
        <v>15</v>
      </c>
      <c r="C372" t="s">
        <v>54</v>
      </c>
      <c r="D372" s="3">
        <v>45771.382418981477</v>
      </c>
      <c r="E372" s="8">
        <v>45771</v>
      </c>
      <c r="F372" t="s">
        <v>1597</v>
      </c>
      <c r="G372" t="s">
        <v>56</v>
      </c>
      <c r="H372" t="s">
        <v>1598</v>
      </c>
      <c r="I372" t="s">
        <v>1599</v>
      </c>
      <c r="J372" t="s">
        <v>593</v>
      </c>
      <c r="K372" t="s">
        <v>579</v>
      </c>
      <c r="L372" t="s">
        <v>595</v>
      </c>
      <c r="M372" t="s">
        <v>312</v>
      </c>
      <c r="N372" t="s">
        <v>312</v>
      </c>
      <c r="O372" t="s">
        <v>313</v>
      </c>
      <c r="P372" t="s">
        <v>314</v>
      </c>
      <c r="Q372" s="5">
        <v>1</v>
      </c>
      <c r="R372" s="6">
        <v>100</v>
      </c>
      <c r="S372" s="6">
        <v>100</v>
      </c>
      <c r="T372" s="6">
        <v>0</v>
      </c>
      <c r="U372" s="3">
        <v>45800.229166666657</v>
      </c>
      <c r="W372" t="s">
        <v>1600</v>
      </c>
      <c r="X372" t="s">
        <v>70</v>
      </c>
      <c r="Y372" t="s">
        <v>23</v>
      </c>
      <c r="Z372" t="s">
        <v>69</v>
      </c>
      <c r="AA372" t="s">
        <v>69</v>
      </c>
      <c r="AB372" t="s">
        <v>67</v>
      </c>
      <c r="AC372" t="s">
        <v>70</v>
      </c>
      <c r="AD372" t="s">
        <v>316</v>
      </c>
      <c r="AE372" t="s">
        <v>102</v>
      </c>
      <c r="AF372" t="s">
        <v>67</v>
      </c>
      <c r="AH372" t="b">
        <v>1</v>
      </c>
      <c r="AI372" t="b">
        <v>1</v>
      </c>
      <c r="AJ372" t="b">
        <v>0</v>
      </c>
      <c r="AK372" t="b">
        <v>1</v>
      </c>
      <c r="AL372" s="6">
        <v>0</v>
      </c>
      <c r="AM372" s="3">
        <v>45800.229166666657</v>
      </c>
      <c r="AN372">
        <v>1</v>
      </c>
      <c r="AO372" s="3"/>
      <c r="AT372" t="b">
        <v>0</v>
      </c>
      <c r="AU372" t="s">
        <v>74</v>
      </c>
      <c r="AV372" t="b">
        <v>1</v>
      </c>
      <c r="AW372" t="b">
        <v>0</v>
      </c>
      <c r="AX372" s="5">
        <v>0</v>
      </c>
      <c r="AY372" s="3"/>
      <c r="AZ372" t="s">
        <v>67</v>
      </c>
      <c r="BA372" t="s">
        <v>67</v>
      </c>
      <c r="BB372" t="s">
        <v>317</v>
      </c>
    </row>
    <row r="373" spans="1:54" x14ac:dyDescent="0.3">
      <c r="A373">
        <v>1</v>
      </c>
      <c r="B373">
        <v>15</v>
      </c>
      <c r="C373" t="s">
        <v>54</v>
      </c>
      <c r="D373" s="3">
        <v>45771.382824074077</v>
      </c>
      <c r="E373" s="8">
        <v>45771</v>
      </c>
      <c r="F373" t="s">
        <v>1601</v>
      </c>
      <c r="G373" t="s">
        <v>56</v>
      </c>
      <c r="H373" t="s">
        <v>1598</v>
      </c>
      <c r="I373" t="s">
        <v>1599</v>
      </c>
      <c r="J373" t="s">
        <v>593</v>
      </c>
      <c r="K373" t="s">
        <v>579</v>
      </c>
      <c r="L373" t="s">
        <v>595</v>
      </c>
      <c r="M373" t="s">
        <v>312</v>
      </c>
      <c r="N373" t="s">
        <v>312</v>
      </c>
      <c r="O373" t="s">
        <v>313</v>
      </c>
      <c r="P373" t="s">
        <v>314</v>
      </c>
      <c r="Q373" s="5">
        <v>1</v>
      </c>
      <c r="R373" s="6">
        <v>100</v>
      </c>
      <c r="S373" s="6">
        <v>100</v>
      </c>
      <c r="T373" s="6">
        <v>0</v>
      </c>
      <c r="U373" s="3">
        <v>45800.229166666657</v>
      </c>
      <c r="W373" t="s">
        <v>1600</v>
      </c>
      <c r="X373" t="s">
        <v>70</v>
      </c>
      <c r="Y373" t="s">
        <v>23</v>
      </c>
      <c r="Z373" t="s">
        <v>69</v>
      </c>
      <c r="AA373" t="s">
        <v>69</v>
      </c>
      <c r="AB373" t="s">
        <v>67</v>
      </c>
      <c r="AC373" t="s">
        <v>70</v>
      </c>
      <c r="AD373" t="s">
        <v>316</v>
      </c>
      <c r="AE373" t="s">
        <v>102</v>
      </c>
      <c r="AF373" t="s">
        <v>67</v>
      </c>
      <c r="AH373" t="b">
        <v>1</v>
      </c>
      <c r="AI373" t="b">
        <v>1</v>
      </c>
      <c r="AJ373" t="b">
        <v>0</v>
      </c>
      <c r="AK373" t="b">
        <v>1</v>
      </c>
      <c r="AL373" s="6">
        <v>0</v>
      </c>
      <c r="AM373" s="3">
        <v>45800.229166666657</v>
      </c>
      <c r="AN373">
        <v>1</v>
      </c>
      <c r="AO373" s="3"/>
      <c r="AT373" t="b">
        <v>0</v>
      </c>
      <c r="AU373" t="s">
        <v>74</v>
      </c>
      <c r="AV373" t="b">
        <v>1</v>
      </c>
      <c r="AW373" t="b">
        <v>0</v>
      </c>
      <c r="AX373" s="5">
        <v>0</v>
      </c>
      <c r="AY373" s="3"/>
      <c r="AZ373" t="s">
        <v>67</v>
      </c>
      <c r="BA373" t="s">
        <v>67</v>
      </c>
      <c r="BB373" t="s">
        <v>317</v>
      </c>
    </row>
    <row r="374" spans="1:54" x14ac:dyDescent="0.3">
      <c r="A374">
        <v>1</v>
      </c>
      <c r="B374">
        <v>15</v>
      </c>
      <c r="C374" t="s">
        <v>54</v>
      </c>
      <c r="D374" s="3">
        <v>45771.410300925927</v>
      </c>
      <c r="E374" s="8">
        <v>45771</v>
      </c>
      <c r="F374" t="s">
        <v>1602</v>
      </c>
      <c r="G374" t="s">
        <v>56</v>
      </c>
      <c r="H374" t="s">
        <v>646</v>
      </c>
      <c r="I374" t="s">
        <v>647</v>
      </c>
      <c r="J374" t="s">
        <v>593</v>
      </c>
      <c r="L374" t="s">
        <v>595</v>
      </c>
      <c r="M374" t="s">
        <v>312</v>
      </c>
      <c r="N374" t="s">
        <v>312</v>
      </c>
      <c r="O374" t="s">
        <v>313</v>
      </c>
      <c r="P374" t="s">
        <v>314</v>
      </c>
      <c r="Q374" s="5">
        <v>1</v>
      </c>
      <c r="R374" s="6">
        <v>100</v>
      </c>
      <c r="S374" s="6">
        <v>100</v>
      </c>
      <c r="T374" s="6">
        <v>0</v>
      </c>
      <c r="U374" s="3">
        <v>46280.25</v>
      </c>
      <c r="W374" t="s">
        <v>648</v>
      </c>
      <c r="X374" t="s">
        <v>70</v>
      </c>
      <c r="Y374" t="s">
        <v>23</v>
      </c>
      <c r="Z374" t="s">
        <v>69</v>
      </c>
      <c r="AA374" t="s">
        <v>69</v>
      </c>
      <c r="AB374" t="s">
        <v>67</v>
      </c>
      <c r="AC374" t="s">
        <v>70</v>
      </c>
      <c r="AD374" t="s">
        <v>316</v>
      </c>
      <c r="AE374" t="s">
        <v>102</v>
      </c>
      <c r="AF374" t="s">
        <v>67</v>
      </c>
      <c r="AH374" t="b">
        <v>1</v>
      </c>
      <c r="AI374" t="b">
        <v>1</v>
      </c>
      <c r="AJ374" t="b">
        <v>0</v>
      </c>
      <c r="AK374" t="b">
        <v>1</v>
      </c>
      <c r="AL374" s="6">
        <v>0</v>
      </c>
      <c r="AM374" s="3">
        <v>45771.479166666657</v>
      </c>
      <c r="AN374">
        <v>1</v>
      </c>
      <c r="AO374" s="3"/>
      <c r="AT374" t="b">
        <v>0</v>
      </c>
      <c r="AU374" t="s">
        <v>74</v>
      </c>
      <c r="AV374" t="b">
        <v>1</v>
      </c>
      <c r="AW374" t="b">
        <v>0</v>
      </c>
      <c r="AX374" s="5">
        <v>0</v>
      </c>
      <c r="AY374" s="3"/>
      <c r="AZ374" t="s">
        <v>67</v>
      </c>
      <c r="BA374" t="s">
        <v>67</v>
      </c>
      <c r="BB374" t="s">
        <v>317</v>
      </c>
    </row>
    <row r="375" spans="1:54" x14ac:dyDescent="0.3">
      <c r="A375">
        <v>1</v>
      </c>
      <c r="B375">
        <v>15</v>
      </c>
      <c r="C375" t="s">
        <v>54</v>
      </c>
      <c r="D375" s="3">
        <v>45771.678379629629</v>
      </c>
      <c r="E375" s="8">
        <v>45772</v>
      </c>
      <c r="F375" t="s">
        <v>1603</v>
      </c>
      <c r="G375" t="s">
        <v>56</v>
      </c>
      <c r="H375" t="s">
        <v>1604</v>
      </c>
      <c r="I375" t="s">
        <v>1605</v>
      </c>
      <c r="J375" t="s">
        <v>593</v>
      </c>
      <c r="L375" t="s">
        <v>595</v>
      </c>
      <c r="M375" t="s">
        <v>312</v>
      </c>
      <c r="O375" t="s">
        <v>313</v>
      </c>
      <c r="P375" t="s">
        <v>314</v>
      </c>
      <c r="Q375" s="5">
        <v>1</v>
      </c>
      <c r="R375" s="6">
        <v>100</v>
      </c>
      <c r="S375" s="6">
        <v>100</v>
      </c>
      <c r="T375" s="6">
        <v>0</v>
      </c>
      <c r="U375" s="3">
        <v>46288.458333333343</v>
      </c>
      <c r="W375" t="s">
        <v>1606</v>
      </c>
      <c r="X375" t="s">
        <v>70</v>
      </c>
      <c r="Y375" t="s">
        <v>23</v>
      </c>
      <c r="Z375" t="s">
        <v>69</v>
      </c>
      <c r="AA375" t="s">
        <v>69</v>
      </c>
      <c r="AB375" t="s">
        <v>67</v>
      </c>
      <c r="AC375" t="s">
        <v>70</v>
      </c>
      <c r="AD375" t="s">
        <v>316</v>
      </c>
      <c r="AE375" t="s">
        <v>102</v>
      </c>
      <c r="AF375" t="s">
        <v>67</v>
      </c>
      <c r="AH375" t="b">
        <v>1</v>
      </c>
      <c r="AI375" t="b">
        <v>1</v>
      </c>
      <c r="AJ375" t="b">
        <v>0</v>
      </c>
      <c r="AK375" t="b">
        <v>1</v>
      </c>
      <c r="AL375" s="6">
        <v>0</v>
      </c>
      <c r="AM375" s="3">
        <v>46193.479166666657</v>
      </c>
      <c r="AN375">
        <v>1</v>
      </c>
      <c r="AO375" s="3"/>
      <c r="AT375" t="b">
        <v>0</v>
      </c>
      <c r="AU375" t="s">
        <v>74</v>
      </c>
      <c r="AV375" t="b">
        <v>1</v>
      </c>
      <c r="AW375" t="b">
        <v>0</v>
      </c>
      <c r="AX375" s="5">
        <v>0</v>
      </c>
      <c r="AY375" s="3"/>
      <c r="AZ375" t="s">
        <v>67</v>
      </c>
      <c r="BA375" t="s">
        <v>67</v>
      </c>
      <c r="BB375" t="s">
        <v>317</v>
      </c>
    </row>
    <row r="376" spans="1:54" x14ac:dyDescent="0.3">
      <c r="A376">
        <v>1</v>
      </c>
      <c r="B376">
        <v>15</v>
      </c>
      <c r="C376" t="s">
        <v>54</v>
      </c>
      <c r="D376" s="3">
        <v>45771.685416666667</v>
      </c>
      <c r="E376" s="8">
        <v>45771</v>
      </c>
      <c r="F376" t="s">
        <v>1607</v>
      </c>
      <c r="G376" t="s">
        <v>56</v>
      </c>
      <c r="H376" t="s">
        <v>1556</v>
      </c>
      <c r="I376" t="s">
        <v>1557</v>
      </c>
      <c r="J376" t="s">
        <v>593</v>
      </c>
      <c r="K376" t="s">
        <v>684</v>
      </c>
      <c r="L376" t="s">
        <v>595</v>
      </c>
      <c r="M376" t="s">
        <v>312</v>
      </c>
      <c r="N376" t="s">
        <v>312</v>
      </c>
      <c r="O376" t="s">
        <v>313</v>
      </c>
      <c r="P376" t="s">
        <v>314</v>
      </c>
      <c r="Q376" s="5">
        <v>1</v>
      </c>
      <c r="R376" s="6">
        <v>100</v>
      </c>
      <c r="S376" s="6">
        <v>100</v>
      </c>
      <c r="T376" s="6">
        <v>0</v>
      </c>
      <c r="U376" s="3">
        <v>46048.5</v>
      </c>
      <c r="W376" t="s">
        <v>1558</v>
      </c>
      <c r="X376" t="s">
        <v>70</v>
      </c>
      <c r="Y376" t="s">
        <v>23</v>
      </c>
      <c r="Z376" t="s">
        <v>69</v>
      </c>
      <c r="AA376" t="s">
        <v>69</v>
      </c>
      <c r="AB376" t="s">
        <v>70</v>
      </c>
      <c r="AC376" t="s">
        <v>70</v>
      </c>
      <c r="AD376" t="s">
        <v>316</v>
      </c>
      <c r="AE376" t="s">
        <v>102</v>
      </c>
      <c r="AF376" t="s">
        <v>67</v>
      </c>
      <c r="AH376" t="b">
        <v>0</v>
      </c>
      <c r="AI376" t="b">
        <v>0</v>
      </c>
      <c r="AJ376" t="b">
        <v>0</v>
      </c>
      <c r="AK376" t="b">
        <v>0</v>
      </c>
      <c r="AL376" s="6">
        <v>0</v>
      </c>
      <c r="AM376" s="3">
        <v>46036.291666666657</v>
      </c>
      <c r="AN376">
        <v>1</v>
      </c>
      <c r="AO376" s="3"/>
      <c r="AT376" t="b">
        <v>0</v>
      </c>
      <c r="AU376" t="s">
        <v>74</v>
      </c>
      <c r="AV376" t="b">
        <v>1</v>
      </c>
      <c r="AW376" t="b">
        <v>0</v>
      </c>
      <c r="AX376" s="5">
        <v>0</v>
      </c>
      <c r="AY376" s="3"/>
      <c r="AZ376" t="s">
        <v>67</v>
      </c>
      <c r="BA376" t="s">
        <v>67</v>
      </c>
      <c r="BB376" t="s">
        <v>317</v>
      </c>
    </row>
    <row r="377" spans="1:54" x14ac:dyDescent="0.3">
      <c r="A377">
        <v>1</v>
      </c>
      <c r="B377">
        <v>15</v>
      </c>
      <c r="C377" t="s">
        <v>54</v>
      </c>
      <c r="D377" s="3">
        <v>45772.358749999999</v>
      </c>
      <c r="E377" s="8">
        <v>45772</v>
      </c>
      <c r="F377" t="s">
        <v>1608</v>
      </c>
      <c r="G377" t="s">
        <v>56</v>
      </c>
      <c r="H377" t="s">
        <v>1609</v>
      </c>
      <c r="I377" t="s">
        <v>1610</v>
      </c>
      <c r="J377" t="s">
        <v>593</v>
      </c>
      <c r="L377" t="s">
        <v>595</v>
      </c>
      <c r="M377" t="s">
        <v>312</v>
      </c>
      <c r="O377" t="s">
        <v>313</v>
      </c>
      <c r="P377" t="s">
        <v>314</v>
      </c>
      <c r="Q377" s="5">
        <v>1</v>
      </c>
      <c r="R377" s="6">
        <v>100</v>
      </c>
      <c r="S377" s="6">
        <v>100</v>
      </c>
      <c r="T377" s="6">
        <v>0</v>
      </c>
      <c r="U377" s="3">
        <v>46311.458333333343</v>
      </c>
      <c r="W377" t="s">
        <v>1611</v>
      </c>
      <c r="X377" t="s">
        <v>70</v>
      </c>
      <c r="Y377" t="s">
        <v>23</v>
      </c>
      <c r="Z377" t="s">
        <v>69</v>
      </c>
      <c r="AA377" t="s">
        <v>69</v>
      </c>
      <c r="AB377" t="s">
        <v>67</v>
      </c>
      <c r="AC377" t="s">
        <v>70</v>
      </c>
      <c r="AD377" t="s">
        <v>316</v>
      </c>
      <c r="AE377" t="s">
        <v>102</v>
      </c>
      <c r="AF377" t="s">
        <v>67</v>
      </c>
      <c r="AH377" t="b">
        <v>1</v>
      </c>
      <c r="AI377" t="b">
        <v>1</v>
      </c>
      <c r="AJ377" t="b">
        <v>0</v>
      </c>
      <c r="AK377" t="b">
        <v>1</v>
      </c>
      <c r="AL377" s="6">
        <v>0</v>
      </c>
      <c r="AM377" s="3">
        <v>45947.479166666657</v>
      </c>
      <c r="AN377">
        <v>1</v>
      </c>
      <c r="AO377" s="3"/>
      <c r="AT377" t="b">
        <v>0</v>
      </c>
      <c r="AU377" t="s">
        <v>74</v>
      </c>
      <c r="AV377" t="b">
        <v>1</v>
      </c>
      <c r="AW377" t="b">
        <v>0</v>
      </c>
      <c r="AX377" s="5">
        <v>0</v>
      </c>
      <c r="AY377" s="3"/>
      <c r="AZ377" t="s">
        <v>67</v>
      </c>
      <c r="BA377" t="s">
        <v>67</v>
      </c>
      <c r="BB377" t="s">
        <v>317</v>
      </c>
    </row>
    <row r="378" spans="1:54" x14ac:dyDescent="0.3">
      <c r="A378">
        <v>1</v>
      </c>
      <c r="B378">
        <v>15</v>
      </c>
      <c r="C378" t="s">
        <v>54</v>
      </c>
      <c r="D378" s="3">
        <v>45786.361712962957</v>
      </c>
      <c r="E378" s="8">
        <v>45786</v>
      </c>
      <c r="F378" t="s">
        <v>1612</v>
      </c>
      <c r="G378" t="s">
        <v>56</v>
      </c>
      <c r="H378" t="s">
        <v>1613</v>
      </c>
      <c r="I378" t="s">
        <v>1614</v>
      </c>
      <c r="J378" t="s">
        <v>310</v>
      </c>
      <c r="K378" t="s">
        <v>403</v>
      </c>
      <c r="L378" t="s">
        <v>384</v>
      </c>
      <c r="M378" t="s">
        <v>312</v>
      </c>
      <c r="N378" t="s">
        <v>312</v>
      </c>
      <c r="O378" t="s">
        <v>313</v>
      </c>
      <c r="P378" t="s">
        <v>314</v>
      </c>
      <c r="Q378" s="5">
        <v>1</v>
      </c>
      <c r="R378" s="6">
        <v>100</v>
      </c>
      <c r="S378" s="6">
        <v>100</v>
      </c>
      <c r="T378" s="6">
        <v>0</v>
      </c>
      <c r="U378" s="3">
        <v>45786.222222222219</v>
      </c>
      <c r="W378" t="s">
        <v>1615</v>
      </c>
      <c r="X378" t="s">
        <v>70</v>
      </c>
      <c r="Y378" t="s">
        <v>23</v>
      </c>
      <c r="Z378" t="s">
        <v>69</v>
      </c>
      <c r="AA378" t="s">
        <v>69</v>
      </c>
      <c r="AB378" t="s">
        <v>67</v>
      </c>
      <c r="AC378" t="s">
        <v>70</v>
      </c>
      <c r="AD378" t="s">
        <v>316</v>
      </c>
      <c r="AE378" t="s">
        <v>102</v>
      </c>
      <c r="AF378" t="s">
        <v>67</v>
      </c>
      <c r="AH378" t="b">
        <v>1</v>
      </c>
      <c r="AI378" t="b">
        <v>1</v>
      </c>
      <c r="AJ378" t="b">
        <v>0</v>
      </c>
      <c r="AK378" t="b">
        <v>1</v>
      </c>
      <c r="AL378" s="6">
        <v>0</v>
      </c>
      <c r="AM378" s="3">
        <v>45786.222222222219</v>
      </c>
      <c r="AN378">
        <v>1</v>
      </c>
      <c r="AO378" s="3"/>
      <c r="AT378" t="b">
        <v>0</v>
      </c>
      <c r="AU378" t="s">
        <v>74</v>
      </c>
      <c r="AV378" t="b">
        <v>1</v>
      </c>
      <c r="AW378" t="b">
        <v>0</v>
      </c>
      <c r="AX378" s="5">
        <v>0</v>
      </c>
      <c r="AY378" s="3"/>
      <c r="AZ378" t="s">
        <v>67</v>
      </c>
      <c r="BA378" t="s">
        <v>67</v>
      </c>
      <c r="BB378" t="s">
        <v>317</v>
      </c>
    </row>
    <row r="379" spans="1:54" x14ac:dyDescent="0.3">
      <c r="A379">
        <v>1</v>
      </c>
      <c r="B379">
        <v>15</v>
      </c>
      <c r="C379" t="s">
        <v>54</v>
      </c>
      <c r="D379" s="3">
        <v>45789.448020833333</v>
      </c>
      <c r="E379" s="8">
        <v>45789</v>
      </c>
      <c r="F379" t="s">
        <v>1616</v>
      </c>
      <c r="G379" t="s">
        <v>56</v>
      </c>
      <c r="H379" t="s">
        <v>1374</v>
      </c>
      <c r="I379" t="s">
        <v>1375</v>
      </c>
      <c r="J379" t="s">
        <v>59</v>
      </c>
      <c r="K379" t="s">
        <v>1376</v>
      </c>
      <c r="L379" t="s">
        <v>699</v>
      </c>
      <c r="M379" t="s">
        <v>63</v>
      </c>
      <c r="O379" t="s">
        <v>228</v>
      </c>
      <c r="P379" t="s">
        <v>229</v>
      </c>
      <c r="Q379" s="5">
        <v>1</v>
      </c>
      <c r="R379" s="6">
        <v>135</v>
      </c>
      <c r="S379" s="6">
        <v>135</v>
      </c>
      <c r="T379" s="6">
        <v>90</v>
      </c>
      <c r="U379" s="3">
        <v>45789.458333333343</v>
      </c>
      <c r="W379" t="s">
        <v>1378</v>
      </c>
      <c r="X379" t="s">
        <v>67</v>
      </c>
      <c r="Y379" t="s">
        <v>68</v>
      </c>
      <c r="Z379" t="s">
        <v>69</v>
      </c>
      <c r="AA379" t="s">
        <v>69</v>
      </c>
      <c r="AB379" t="s">
        <v>67</v>
      </c>
      <c r="AC379" t="s">
        <v>70</v>
      </c>
      <c r="AD379" t="s">
        <v>71</v>
      </c>
      <c r="AE379" t="s">
        <v>84</v>
      </c>
      <c r="AF379" t="s">
        <v>67</v>
      </c>
      <c r="AG379" t="s">
        <v>228</v>
      </c>
      <c r="AH379" t="b">
        <v>0</v>
      </c>
      <c r="AI379" t="b">
        <v>0</v>
      </c>
      <c r="AJ379" t="b">
        <v>0</v>
      </c>
      <c r="AK379" t="b">
        <v>1</v>
      </c>
      <c r="AL379" s="6">
        <v>90</v>
      </c>
      <c r="AM379" s="3">
        <v>45789.458333333343</v>
      </c>
      <c r="AN379">
        <v>1</v>
      </c>
      <c r="AO379" s="3"/>
      <c r="AT379" t="b">
        <v>0</v>
      </c>
      <c r="AU379" t="s">
        <v>74</v>
      </c>
      <c r="AV379" t="b">
        <v>1</v>
      </c>
      <c r="AW379" t="b">
        <v>0</v>
      </c>
      <c r="AX379" s="5">
        <v>0</v>
      </c>
      <c r="AY379" s="3"/>
      <c r="AZ379" t="s">
        <v>67</v>
      </c>
      <c r="BA379" t="s">
        <v>67</v>
      </c>
      <c r="BB379" t="s">
        <v>317</v>
      </c>
    </row>
    <row r="380" spans="1:54" x14ac:dyDescent="0.3">
      <c r="A380">
        <v>1</v>
      </c>
      <c r="B380">
        <v>15</v>
      </c>
      <c r="C380" t="s">
        <v>54</v>
      </c>
      <c r="D380" s="3">
        <v>45798.413229166668</v>
      </c>
      <c r="E380" s="8">
        <v>45800</v>
      </c>
      <c r="F380" t="s">
        <v>1617</v>
      </c>
      <c r="G380" t="s">
        <v>56</v>
      </c>
      <c r="H380" t="s">
        <v>1618</v>
      </c>
      <c r="I380" t="s">
        <v>1619</v>
      </c>
      <c r="J380" t="s">
        <v>593</v>
      </c>
      <c r="K380" t="s">
        <v>790</v>
      </c>
      <c r="L380" t="s">
        <v>595</v>
      </c>
      <c r="M380" t="s">
        <v>312</v>
      </c>
      <c r="N380" t="s">
        <v>312</v>
      </c>
      <c r="O380" t="s">
        <v>313</v>
      </c>
      <c r="P380" t="s">
        <v>314</v>
      </c>
      <c r="Q380" s="5">
        <v>1</v>
      </c>
      <c r="R380" s="6">
        <v>100</v>
      </c>
      <c r="S380" s="6">
        <v>100</v>
      </c>
      <c r="T380" s="6">
        <v>0</v>
      </c>
      <c r="U380" s="3">
        <v>45800.458333333343</v>
      </c>
      <c r="W380" t="s">
        <v>1620</v>
      </c>
      <c r="X380" t="s">
        <v>70</v>
      </c>
      <c r="Y380" t="s">
        <v>23</v>
      </c>
      <c r="Z380" t="s">
        <v>69</v>
      </c>
      <c r="AA380" t="s">
        <v>69</v>
      </c>
      <c r="AB380" t="s">
        <v>67</v>
      </c>
      <c r="AC380" t="s">
        <v>70</v>
      </c>
      <c r="AD380" t="s">
        <v>316</v>
      </c>
      <c r="AE380" t="s">
        <v>102</v>
      </c>
      <c r="AF380" t="s">
        <v>67</v>
      </c>
      <c r="AH380" t="b">
        <v>1</v>
      </c>
      <c r="AI380" t="b">
        <v>1</v>
      </c>
      <c r="AJ380" t="b">
        <v>0</v>
      </c>
      <c r="AK380" t="b">
        <v>1</v>
      </c>
      <c r="AL380" s="6">
        <v>0</v>
      </c>
      <c r="AM380" s="3">
        <v>45800.458333333343</v>
      </c>
      <c r="AN380">
        <v>1</v>
      </c>
      <c r="AO380" s="3"/>
      <c r="AT380" t="b">
        <v>0</v>
      </c>
      <c r="AU380" t="s">
        <v>74</v>
      </c>
      <c r="AV380" t="b">
        <v>1</v>
      </c>
      <c r="AW380" t="b">
        <v>0</v>
      </c>
      <c r="AX380" s="5">
        <v>0</v>
      </c>
      <c r="AY380" s="3"/>
      <c r="AZ380" t="s">
        <v>67</v>
      </c>
      <c r="BA380" t="s">
        <v>67</v>
      </c>
      <c r="BB380" t="s">
        <v>317</v>
      </c>
    </row>
    <row r="381" spans="1:54" x14ac:dyDescent="0.3">
      <c r="A381">
        <v>1</v>
      </c>
      <c r="B381">
        <v>15</v>
      </c>
      <c r="C381" t="s">
        <v>54</v>
      </c>
      <c r="D381" s="3">
        <v>45798.463449074072</v>
      </c>
      <c r="E381" s="8">
        <v>45798</v>
      </c>
      <c r="F381" t="s">
        <v>1621</v>
      </c>
      <c r="G381" t="s">
        <v>56</v>
      </c>
      <c r="H381" t="s">
        <v>1622</v>
      </c>
      <c r="I381" t="s">
        <v>1623</v>
      </c>
      <c r="J381" t="s">
        <v>593</v>
      </c>
      <c r="L381" t="s">
        <v>600</v>
      </c>
      <c r="M381" t="s">
        <v>312</v>
      </c>
      <c r="N381" t="s">
        <v>312</v>
      </c>
      <c r="O381" t="s">
        <v>313</v>
      </c>
      <c r="P381" t="s">
        <v>314</v>
      </c>
      <c r="Q381" s="5">
        <v>3</v>
      </c>
      <c r="R381" s="6">
        <v>100</v>
      </c>
      <c r="S381" s="6">
        <v>300</v>
      </c>
      <c r="T381" s="6">
        <v>0</v>
      </c>
      <c r="U381" s="3">
        <v>46148.458333333343</v>
      </c>
      <c r="W381" t="s">
        <v>1624</v>
      </c>
      <c r="X381" t="s">
        <v>70</v>
      </c>
      <c r="Y381" t="s">
        <v>23</v>
      </c>
      <c r="Z381" t="s">
        <v>69</v>
      </c>
      <c r="AA381" t="s">
        <v>69</v>
      </c>
      <c r="AB381" t="s">
        <v>67</v>
      </c>
      <c r="AC381" t="s">
        <v>70</v>
      </c>
      <c r="AD381" t="s">
        <v>316</v>
      </c>
      <c r="AE381" t="s">
        <v>102</v>
      </c>
      <c r="AF381" t="s">
        <v>67</v>
      </c>
      <c r="AH381" t="b">
        <v>0</v>
      </c>
      <c r="AI381" t="b">
        <v>1</v>
      </c>
      <c r="AJ381" t="b">
        <v>0</v>
      </c>
      <c r="AK381" t="b">
        <v>1</v>
      </c>
      <c r="AL381" s="6">
        <v>0</v>
      </c>
      <c r="AM381" s="3">
        <v>45800.229166666657</v>
      </c>
      <c r="AN381">
        <v>1</v>
      </c>
      <c r="AO381" s="3"/>
      <c r="AT381" t="b">
        <v>0</v>
      </c>
      <c r="AU381" t="s">
        <v>74</v>
      </c>
      <c r="AV381" t="b">
        <v>1</v>
      </c>
      <c r="AW381" t="b">
        <v>0</v>
      </c>
      <c r="AX381" s="5">
        <v>0</v>
      </c>
      <c r="AY381" s="3"/>
      <c r="AZ381" t="s">
        <v>67</v>
      </c>
      <c r="BA381" t="s">
        <v>67</v>
      </c>
      <c r="BB381" t="s">
        <v>317</v>
      </c>
    </row>
    <row r="382" spans="1:54" x14ac:dyDescent="0.3">
      <c r="A382">
        <v>1</v>
      </c>
      <c r="B382">
        <v>15</v>
      </c>
      <c r="C382" t="s">
        <v>54</v>
      </c>
      <c r="D382" s="3">
        <v>45798.479479166657</v>
      </c>
      <c r="E382" s="8">
        <v>45798</v>
      </c>
      <c r="F382" t="s">
        <v>1625</v>
      </c>
      <c r="G382" t="s">
        <v>56</v>
      </c>
      <c r="H382" t="s">
        <v>1626</v>
      </c>
      <c r="I382" t="s">
        <v>1627</v>
      </c>
      <c r="J382" t="s">
        <v>593</v>
      </c>
      <c r="K382" t="s">
        <v>750</v>
      </c>
      <c r="L382" t="s">
        <v>595</v>
      </c>
      <c r="M382" t="s">
        <v>312</v>
      </c>
      <c r="N382" t="s">
        <v>312</v>
      </c>
      <c r="O382" t="s">
        <v>313</v>
      </c>
      <c r="P382" t="s">
        <v>314</v>
      </c>
      <c r="Q382" s="5">
        <v>1</v>
      </c>
      <c r="R382" s="6">
        <v>100</v>
      </c>
      <c r="S382" s="6">
        <v>100</v>
      </c>
      <c r="T382" s="6">
        <v>0</v>
      </c>
      <c r="U382" s="3">
        <v>46087.458333333343</v>
      </c>
      <c r="W382" t="s">
        <v>1628</v>
      </c>
      <c r="X382" t="s">
        <v>70</v>
      </c>
      <c r="Y382" t="s">
        <v>23</v>
      </c>
      <c r="Z382" t="s">
        <v>69</v>
      </c>
      <c r="AA382" t="s">
        <v>69</v>
      </c>
      <c r="AB382" t="s">
        <v>67</v>
      </c>
      <c r="AC382" t="s">
        <v>70</v>
      </c>
      <c r="AD382" t="s">
        <v>316</v>
      </c>
      <c r="AE382" t="s">
        <v>102</v>
      </c>
      <c r="AF382" t="s">
        <v>67</v>
      </c>
      <c r="AH382" t="b">
        <v>1</v>
      </c>
      <c r="AI382" t="b">
        <v>1</v>
      </c>
      <c r="AJ382" t="b">
        <v>0</v>
      </c>
      <c r="AK382" t="b">
        <v>1</v>
      </c>
      <c r="AL382" s="6">
        <v>0</v>
      </c>
      <c r="AM382" s="3">
        <v>45980.25</v>
      </c>
      <c r="AN382">
        <v>1</v>
      </c>
      <c r="AO382" s="3"/>
      <c r="AT382" t="b">
        <v>0</v>
      </c>
      <c r="AU382" t="s">
        <v>74</v>
      </c>
      <c r="AV382" t="b">
        <v>1</v>
      </c>
      <c r="AW382" t="b">
        <v>0</v>
      </c>
      <c r="AX382" s="5">
        <v>0</v>
      </c>
      <c r="AY382" s="3"/>
      <c r="AZ382" t="s">
        <v>67</v>
      </c>
      <c r="BA382" t="s">
        <v>67</v>
      </c>
      <c r="BB382" t="s">
        <v>317</v>
      </c>
    </row>
    <row r="383" spans="1:54" x14ac:dyDescent="0.3">
      <c r="A383">
        <v>1</v>
      </c>
      <c r="B383">
        <v>15</v>
      </c>
      <c r="C383" t="s">
        <v>54</v>
      </c>
      <c r="D383" s="3">
        <v>45798.484375</v>
      </c>
      <c r="E383" s="8">
        <v>45798</v>
      </c>
      <c r="F383" t="s">
        <v>1629</v>
      </c>
      <c r="G383" t="s">
        <v>56</v>
      </c>
      <c r="H383" t="s">
        <v>1630</v>
      </c>
      <c r="I383" t="s">
        <v>1631</v>
      </c>
      <c r="J383" t="s">
        <v>593</v>
      </c>
      <c r="K383" t="s">
        <v>709</v>
      </c>
      <c r="L383" t="s">
        <v>600</v>
      </c>
      <c r="M383" t="s">
        <v>312</v>
      </c>
      <c r="O383" t="s">
        <v>313</v>
      </c>
      <c r="P383" t="s">
        <v>314</v>
      </c>
      <c r="Q383" s="5">
        <v>1</v>
      </c>
      <c r="R383" s="6">
        <v>100</v>
      </c>
      <c r="S383" s="6">
        <v>100</v>
      </c>
      <c r="T383" s="6">
        <v>0</v>
      </c>
      <c r="U383" s="3">
        <v>45798.479166666657</v>
      </c>
      <c r="W383" t="s">
        <v>1632</v>
      </c>
      <c r="X383" t="s">
        <v>70</v>
      </c>
      <c r="Y383" t="s">
        <v>23</v>
      </c>
      <c r="Z383" t="s">
        <v>69</v>
      </c>
      <c r="AA383" t="s">
        <v>69</v>
      </c>
      <c r="AB383" t="s">
        <v>67</v>
      </c>
      <c r="AC383" t="s">
        <v>70</v>
      </c>
      <c r="AD383" t="s">
        <v>316</v>
      </c>
      <c r="AE383" t="s">
        <v>102</v>
      </c>
      <c r="AF383" t="s">
        <v>67</v>
      </c>
      <c r="AH383" t="b">
        <v>0</v>
      </c>
      <c r="AI383" t="b">
        <v>0</v>
      </c>
      <c r="AJ383" t="b">
        <v>0</v>
      </c>
      <c r="AK383" t="b">
        <v>0</v>
      </c>
      <c r="AL383" s="6">
        <v>0</v>
      </c>
      <c r="AM383" s="3">
        <v>45798.479166666657</v>
      </c>
      <c r="AN383">
        <v>1</v>
      </c>
      <c r="AO383" s="3"/>
      <c r="AT383" t="b">
        <v>0</v>
      </c>
      <c r="AU383" t="s">
        <v>74</v>
      </c>
      <c r="AV383" t="b">
        <v>1</v>
      </c>
      <c r="AW383" t="b">
        <v>0</v>
      </c>
      <c r="AX383" s="5">
        <v>0</v>
      </c>
      <c r="AY383" s="3"/>
      <c r="AZ383" t="s">
        <v>67</v>
      </c>
      <c r="BA383" t="s">
        <v>67</v>
      </c>
      <c r="BB383" t="s">
        <v>317</v>
      </c>
    </row>
    <row r="384" spans="1:54" x14ac:dyDescent="0.3">
      <c r="A384">
        <v>1</v>
      </c>
      <c r="B384">
        <v>15</v>
      </c>
      <c r="C384" t="s">
        <v>54</v>
      </c>
      <c r="D384" s="3">
        <v>45798.514884259261</v>
      </c>
      <c r="E384" s="8">
        <v>45799</v>
      </c>
      <c r="F384" t="s">
        <v>1633</v>
      </c>
      <c r="G384" t="s">
        <v>56</v>
      </c>
      <c r="H384" t="s">
        <v>1634</v>
      </c>
      <c r="I384" t="s">
        <v>1635</v>
      </c>
      <c r="J384" t="s">
        <v>593</v>
      </c>
      <c r="L384" t="s">
        <v>595</v>
      </c>
      <c r="M384" t="s">
        <v>312</v>
      </c>
      <c r="N384" t="s">
        <v>312</v>
      </c>
      <c r="O384" t="s">
        <v>313</v>
      </c>
      <c r="P384" t="s">
        <v>314</v>
      </c>
      <c r="Q384" s="5">
        <v>3</v>
      </c>
      <c r="R384" s="6">
        <v>100</v>
      </c>
      <c r="S384" s="6">
        <v>300</v>
      </c>
      <c r="T384" s="6">
        <v>0</v>
      </c>
      <c r="U384" s="3">
        <v>46301.458333333343</v>
      </c>
      <c r="W384" t="s">
        <v>1636</v>
      </c>
      <c r="X384" t="s">
        <v>70</v>
      </c>
      <c r="Y384" t="s">
        <v>23</v>
      </c>
      <c r="Z384" t="s">
        <v>69</v>
      </c>
      <c r="AA384" t="s">
        <v>69</v>
      </c>
      <c r="AB384" t="s">
        <v>67</v>
      </c>
      <c r="AC384" t="s">
        <v>70</v>
      </c>
      <c r="AD384" t="s">
        <v>316</v>
      </c>
      <c r="AE384" t="s">
        <v>102</v>
      </c>
      <c r="AF384" t="s">
        <v>67</v>
      </c>
      <c r="AH384" t="b">
        <v>1</v>
      </c>
      <c r="AI384" t="b">
        <v>1</v>
      </c>
      <c r="AJ384" t="b">
        <v>0</v>
      </c>
      <c r="AK384" t="b">
        <v>1</v>
      </c>
      <c r="AL384" s="6">
        <v>0</v>
      </c>
      <c r="AM384" s="3">
        <v>45834.458333333343</v>
      </c>
      <c r="AN384">
        <v>1</v>
      </c>
      <c r="AO384" s="3"/>
      <c r="AT384" t="b">
        <v>0</v>
      </c>
      <c r="AU384" t="s">
        <v>74</v>
      </c>
      <c r="AV384" t="b">
        <v>1</v>
      </c>
      <c r="AW384" t="b">
        <v>0</v>
      </c>
      <c r="AX384" s="5">
        <v>0</v>
      </c>
      <c r="AY384" s="3"/>
      <c r="AZ384" t="s">
        <v>67</v>
      </c>
      <c r="BA384" t="s">
        <v>67</v>
      </c>
      <c r="BB384" t="s">
        <v>317</v>
      </c>
    </row>
    <row r="385" spans="1:54" x14ac:dyDescent="0.3">
      <c r="A385">
        <v>1</v>
      </c>
      <c r="B385">
        <v>15</v>
      </c>
      <c r="C385" t="s">
        <v>54</v>
      </c>
      <c r="D385" s="3">
        <v>45798.622314814813</v>
      </c>
      <c r="E385" s="8">
        <v>45798</v>
      </c>
      <c r="F385" t="s">
        <v>1637</v>
      </c>
      <c r="G385" t="s">
        <v>56</v>
      </c>
      <c r="H385" t="s">
        <v>1638</v>
      </c>
      <c r="I385" t="s">
        <v>1639</v>
      </c>
      <c r="J385" t="s">
        <v>593</v>
      </c>
      <c r="L385" t="s">
        <v>600</v>
      </c>
      <c r="M385" t="s">
        <v>312</v>
      </c>
      <c r="N385" t="s">
        <v>312</v>
      </c>
      <c r="O385" t="s">
        <v>313</v>
      </c>
      <c r="P385" t="s">
        <v>314</v>
      </c>
      <c r="Q385" s="5">
        <v>1</v>
      </c>
      <c r="R385" s="6">
        <v>100</v>
      </c>
      <c r="S385" s="6">
        <v>100</v>
      </c>
      <c r="T385" s="6">
        <v>0</v>
      </c>
      <c r="U385" s="3">
        <v>45798.458333333343</v>
      </c>
      <c r="W385" t="s">
        <v>1640</v>
      </c>
      <c r="X385" t="s">
        <v>70</v>
      </c>
      <c r="Y385" t="s">
        <v>23</v>
      </c>
      <c r="Z385" t="s">
        <v>69</v>
      </c>
      <c r="AA385" t="s">
        <v>69</v>
      </c>
      <c r="AB385" t="s">
        <v>67</v>
      </c>
      <c r="AC385" t="s">
        <v>70</v>
      </c>
      <c r="AD385" t="s">
        <v>316</v>
      </c>
      <c r="AE385" t="s">
        <v>102</v>
      </c>
      <c r="AF385" t="s">
        <v>67</v>
      </c>
      <c r="AH385" t="b">
        <v>0</v>
      </c>
      <c r="AI385" t="b">
        <v>0</v>
      </c>
      <c r="AJ385" t="b">
        <v>0</v>
      </c>
      <c r="AK385" t="b">
        <v>0</v>
      </c>
      <c r="AL385" s="6">
        <v>0</v>
      </c>
      <c r="AM385" s="3">
        <v>45798.458333333343</v>
      </c>
      <c r="AN385">
        <v>1</v>
      </c>
      <c r="AO385" s="3"/>
      <c r="AT385" t="b">
        <v>0</v>
      </c>
      <c r="AU385" t="s">
        <v>74</v>
      </c>
      <c r="AV385" t="b">
        <v>1</v>
      </c>
      <c r="AW385" t="b">
        <v>0</v>
      </c>
      <c r="AX385" s="5">
        <v>0</v>
      </c>
      <c r="AY385" s="3"/>
      <c r="AZ385" t="s">
        <v>67</v>
      </c>
      <c r="BA385" t="s">
        <v>67</v>
      </c>
      <c r="BB385" t="s">
        <v>317</v>
      </c>
    </row>
    <row r="386" spans="1:54" x14ac:dyDescent="0.3">
      <c r="A386">
        <v>1</v>
      </c>
      <c r="B386">
        <v>15</v>
      </c>
      <c r="C386" t="s">
        <v>54</v>
      </c>
      <c r="D386" s="3">
        <v>45798.628819444442</v>
      </c>
      <c r="E386" s="8">
        <v>45798</v>
      </c>
      <c r="F386" t="s">
        <v>1641</v>
      </c>
      <c r="G386" t="s">
        <v>56</v>
      </c>
      <c r="H386" t="s">
        <v>1642</v>
      </c>
      <c r="I386" t="s">
        <v>1643</v>
      </c>
      <c r="J386" t="s">
        <v>593</v>
      </c>
      <c r="K386" t="s">
        <v>864</v>
      </c>
      <c r="L386" t="s">
        <v>595</v>
      </c>
      <c r="M386" t="s">
        <v>312</v>
      </c>
      <c r="N386" t="s">
        <v>312</v>
      </c>
      <c r="O386" t="s">
        <v>313</v>
      </c>
      <c r="P386" t="s">
        <v>314</v>
      </c>
      <c r="Q386" s="5">
        <v>2</v>
      </c>
      <c r="R386" s="6">
        <v>100</v>
      </c>
      <c r="S386" s="6">
        <v>200</v>
      </c>
      <c r="T386" s="6">
        <v>0</v>
      </c>
      <c r="U386" s="3">
        <v>45952.25</v>
      </c>
      <c r="W386" t="s">
        <v>1644</v>
      </c>
      <c r="X386" t="s">
        <v>70</v>
      </c>
      <c r="Y386" t="s">
        <v>23</v>
      </c>
      <c r="Z386" t="s">
        <v>69</v>
      </c>
      <c r="AA386" t="s">
        <v>69</v>
      </c>
      <c r="AB386" t="s">
        <v>67</v>
      </c>
      <c r="AC386" t="s">
        <v>70</v>
      </c>
      <c r="AD386" t="s">
        <v>316</v>
      </c>
      <c r="AE386" t="s">
        <v>102</v>
      </c>
      <c r="AF386" t="s">
        <v>67</v>
      </c>
      <c r="AH386" t="b">
        <v>1</v>
      </c>
      <c r="AI386" t="b">
        <v>1</v>
      </c>
      <c r="AJ386" t="b">
        <v>0</v>
      </c>
      <c r="AK386" t="b">
        <v>1</v>
      </c>
      <c r="AL386" s="6">
        <v>0</v>
      </c>
      <c r="AM386" s="3">
        <v>45952.25</v>
      </c>
      <c r="AN386">
        <v>1</v>
      </c>
      <c r="AO386" s="3"/>
      <c r="AT386" t="b">
        <v>0</v>
      </c>
      <c r="AU386" t="s">
        <v>74</v>
      </c>
      <c r="AV386" t="b">
        <v>1</v>
      </c>
      <c r="AW386" t="b">
        <v>0</v>
      </c>
      <c r="AX386" s="5">
        <v>0</v>
      </c>
      <c r="AY386" s="3"/>
      <c r="AZ386" t="s">
        <v>67</v>
      </c>
      <c r="BA386" t="s">
        <v>67</v>
      </c>
      <c r="BB386" t="s">
        <v>317</v>
      </c>
    </row>
    <row r="387" spans="1:54" x14ac:dyDescent="0.3">
      <c r="A387">
        <v>1</v>
      </c>
      <c r="B387">
        <v>15</v>
      </c>
      <c r="C387" t="s">
        <v>54</v>
      </c>
      <c r="D387" s="3">
        <v>45798.651331018518</v>
      </c>
      <c r="E387" s="8">
        <v>45800</v>
      </c>
      <c r="F387" t="s">
        <v>1645</v>
      </c>
      <c r="G387" t="s">
        <v>56</v>
      </c>
      <c r="H387" t="s">
        <v>1646</v>
      </c>
      <c r="I387" t="s">
        <v>1647</v>
      </c>
      <c r="J387" t="s">
        <v>593</v>
      </c>
      <c r="K387" t="s">
        <v>889</v>
      </c>
      <c r="L387" t="s">
        <v>595</v>
      </c>
      <c r="M387" t="s">
        <v>312</v>
      </c>
      <c r="N387" t="s">
        <v>312</v>
      </c>
      <c r="O387" t="s">
        <v>313</v>
      </c>
      <c r="P387" t="s">
        <v>314</v>
      </c>
      <c r="Q387" s="5">
        <v>1</v>
      </c>
      <c r="R387" s="6">
        <v>100</v>
      </c>
      <c r="S387" s="6">
        <v>100</v>
      </c>
      <c r="T387" s="6">
        <v>0</v>
      </c>
      <c r="U387" s="3">
        <v>45800.472222222219</v>
      </c>
      <c r="W387" t="s">
        <v>1648</v>
      </c>
      <c r="X387" t="s">
        <v>70</v>
      </c>
      <c r="Y387" t="s">
        <v>23</v>
      </c>
      <c r="Z387" t="s">
        <v>69</v>
      </c>
      <c r="AA387" t="s">
        <v>69</v>
      </c>
      <c r="AB387" t="s">
        <v>67</v>
      </c>
      <c r="AC387" t="s">
        <v>70</v>
      </c>
      <c r="AD387" t="s">
        <v>316</v>
      </c>
      <c r="AE387" t="s">
        <v>102</v>
      </c>
      <c r="AF387" t="s">
        <v>67</v>
      </c>
      <c r="AH387" t="b">
        <v>1</v>
      </c>
      <c r="AI387" t="b">
        <v>1</v>
      </c>
      <c r="AJ387" t="b">
        <v>0</v>
      </c>
      <c r="AK387" t="b">
        <v>1</v>
      </c>
      <c r="AL387" s="6">
        <v>0</v>
      </c>
      <c r="AM387" s="3">
        <v>45800.472222222219</v>
      </c>
      <c r="AN387">
        <v>1</v>
      </c>
      <c r="AO387" s="3"/>
      <c r="AT387" t="b">
        <v>0</v>
      </c>
      <c r="AU387" t="s">
        <v>74</v>
      </c>
      <c r="AV387" t="b">
        <v>1</v>
      </c>
      <c r="AW387" t="b">
        <v>0</v>
      </c>
      <c r="AX387" s="5">
        <v>0</v>
      </c>
      <c r="AY387" s="3"/>
      <c r="AZ387" t="s">
        <v>67</v>
      </c>
      <c r="BA387" t="s">
        <v>67</v>
      </c>
      <c r="BB387" t="s">
        <v>317</v>
      </c>
    </row>
    <row r="388" spans="1:54" x14ac:dyDescent="0.3">
      <c r="A388">
        <v>1</v>
      </c>
      <c r="B388">
        <v>15</v>
      </c>
      <c r="C388" t="s">
        <v>54</v>
      </c>
      <c r="D388" s="3">
        <v>45799.408553240741</v>
      </c>
      <c r="E388" s="8">
        <v>45799</v>
      </c>
      <c r="F388" t="s">
        <v>1649</v>
      </c>
      <c r="G388" t="s">
        <v>56</v>
      </c>
      <c r="H388" t="s">
        <v>1650</v>
      </c>
      <c r="I388" t="s">
        <v>1651</v>
      </c>
      <c r="J388" t="s">
        <v>593</v>
      </c>
      <c r="K388" t="s">
        <v>1652</v>
      </c>
      <c r="L388" t="s">
        <v>595</v>
      </c>
      <c r="M388" t="s">
        <v>312</v>
      </c>
      <c r="O388" t="s">
        <v>313</v>
      </c>
      <c r="P388" t="s">
        <v>314</v>
      </c>
      <c r="Q388" s="5">
        <v>1</v>
      </c>
      <c r="R388" s="6">
        <v>100</v>
      </c>
      <c r="S388" s="6">
        <v>100</v>
      </c>
      <c r="T388" s="6">
        <v>0</v>
      </c>
      <c r="U388" s="3">
        <v>46310.541666666657</v>
      </c>
      <c r="W388" t="s">
        <v>1653</v>
      </c>
      <c r="X388" t="s">
        <v>70</v>
      </c>
      <c r="Y388" t="s">
        <v>23</v>
      </c>
      <c r="Z388" t="s">
        <v>69</v>
      </c>
      <c r="AA388" t="s">
        <v>69</v>
      </c>
      <c r="AB388" t="s">
        <v>67</v>
      </c>
      <c r="AC388" t="s">
        <v>70</v>
      </c>
      <c r="AD388" t="s">
        <v>316</v>
      </c>
      <c r="AE388" t="s">
        <v>102</v>
      </c>
      <c r="AF388" t="s">
        <v>67</v>
      </c>
      <c r="AH388" t="b">
        <v>0</v>
      </c>
      <c r="AI388" t="b">
        <v>0</v>
      </c>
      <c r="AJ388" t="b">
        <v>0</v>
      </c>
      <c r="AK388" t="b">
        <v>0</v>
      </c>
      <c r="AL388" s="6">
        <v>0</v>
      </c>
      <c r="AM388" s="3">
        <v>46310.541666666657</v>
      </c>
      <c r="AN388">
        <v>1</v>
      </c>
      <c r="AO388" s="3"/>
      <c r="AT388" t="b">
        <v>0</v>
      </c>
      <c r="AU388" t="s">
        <v>74</v>
      </c>
      <c r="AV388" t="b">
        <v>1</v>
      </c>
      <c r="AW388" t="b">
        <v>0</v>
      </c>
      <c r="AX388" s="5">
        <v>0</v>
      </c>
      <c r="AY388" s="3"/>
      <c r="AZ388" t="s">
        <v>67</v>
      </c>
      <c r="BA388" t="s">
        <v>67</v>
      </c>
      <c r="BB388" t="s">
        <v>317</v>
      </c>
    </row>
    <row r="389" spans="1:54" x14ac:dyDescent="0.3">
      <c r="A389">
        <v>1</v>
      </c>
      <c r="B389">
        <v>15</v>
      </c>
      <c r="C389" t="s">
        <v>54</v>
      </c>
      <c r="D389" s="3">
        <v>45799.418310185189</v>
      </c>
      <c r="E389" s="8">
        <v>45799</v>
      </c>
      <c r="F389" t="s">
        <v>1654</v>
      </c>
      <c r="G389" t="s">
        <v>56</v>
      </c>
      <c r="H389" t="s">
        <v>1655</v>
      </c>
      <c r="I389" t="s">
        <v>1656</v>
      </c>
      <c r="J389" t="s">
        <v>593</v>
      </c>
      <c r="K389" t="s">
        <v>704</v>
      </c>
      <c r="L389" t="s">
        <v>595</v>
      </c>
      <c r="M389" t="s">
        <v>312</v>
      </c>
      <c r="N389" t="s">
        <v>312</v>
      </c>
      <c r="O389" t="s">
        <v>313</v>
      </c>
      <c r="P389" t="s">
        <v>314</v>
      </c>
      <c r="Q389" s="5">
        <v>1</v>
      </c>
      <c r="R389" s="6">
        <v>100</v>
      </c>
      <c r="S389" s="6">
        <v>100</v>
      </c>
      <c r="T389" s="6">
        <v>0</v>
      </c>
      <c r="U389" s="3">
        <v>45891.208333333343</v>
      </c>
      <c r="W389" t="s">
        <v>1657</v>
      </c>
      <c r="X389" t="s">
        <v>70</v>
      </c>
      <c r="Y389" t="s">
        <v>23</v>
      </c>
      <c r="Z389" t="s">
        <v>69</v>
      </c>
      <c r="AA389" t="s">
        <v>69</v>
      </c>
      <c r="AB389" t="s">
        <v>67</v>
      </c>
      <c r="AC389" t="s">
        <v>70</v>
      </c>
      <c r="AD389" t="s">
        <v>316</v>
      </c>
      <c r="AE389" t="s">
        <v>102</v>
      </c>
      <c r="AF389" t="s">
        <v>67</v>
      </c>
      <c r="AH389" t="b">
        <v>0</v>
      </c>
      <c r="AI389" t="b">
        <v>0</v>
      </c>
      <c r="AJ389" t="b">
        <v>0</v>
      </c>
      <c r="AK389" t="b">
        <v>0</v>
      </c>
      <c r="AL389" s="6">
        <v>0</v>
      </c>
      <c r="AM389" s="3">
        <v>45891.208333333343</v>
      </c>
      <c r="AN389">
        <v>1</v>
      </c>
      <c r="AO389" s="3"/>
      <c r="AT389" t="b">
        <v>0</v>
      </c>
      <c r="AU389" t="s">
        <v>74</v>
      </c>
      <c r="AV389" t="b">
        <v>1</v>
      </c>
      <c r="AW389" t="b">
        <v>0</v>
      </c>
      <c r="AX389" s="5">
        <v>0</v>
      </c>
      <c r="AY389" s="3"/>
      <c r="AZ389" t="s">
        <v>67</v>
      </c>
      <c r="BA389" t="s">
        <v>67</v>
      </c>
      <c r="BB389" t="s">
        <v>317</v>
      </c>
    </row>
    <row r="390" spans="1:54" x14ac:dyDescent="0.3">
      <c r="A390">
        <v>1</v>
      </c>
      <c r="B390">
        <v>15</v>
      </c>
      <c r="C390" t="s">
        <v>54</v>
      </c>
      <c r="D390" s="3">
        <v>45799.472719907397</v>
      </c>
      <c r="E390" s="8">
        <v>45799</v>
      </c>
      <c r="F390" t="s">
        <v>1658</v>
      </c>
      <c r="G390" t="s">
        <v>56</v>
      </c>
      <c r="H390" t="s">
        <v>1659</v>
      </c>
      <c r="I390" t="s">
        <v>1660</v>
      </c>
      <c r="J390" t="s">
        <v>593</v>
      </c>
      <c r="K390" t="s">
        <v>629</v>
      </c>
      <c r="L390" t="s">
        <v>600</v>
      </c>
      <c r="M390" t="s">
        <v>312</v>
      </c>
      <c r="N390" t="s">
        <v>312</v>
      </c>
      <c r="O390" t="s">
        <v>313</v>
      </c>
      <c r="P390" t="s">
        <v>314</v>
      </c>
      <c r="Q390" s="5">
        <v>2</v>
      </c>
      <c r="R390" s="6">
        <v>100</v>
      </c>
      <c r="S390" s="6">
        <v>200</v>
      </c>
      <c r="T390" s="6">
        <v>0</v>
      </c>
      <c r="U390" s="3">
        <v>45946.25</v>
      </c>
      <c r="W390" t="s">
        <v>1661</v>
      </c>
      <c r="X390" t="s">
        <v>70</v>
      </c>
      <c r="Y390" t="s">
        <v>23</v>
      </c>
      <c r="Z390" t="s">
        <v>69</v>
      </c>
      <c r="AA390" t="s">
        <v>69</v>
      </c>
      <c r="AB390" t="s">
        <v>67</v>
      </c>
      <c r="AC390" t="s">
        <v>70</v>
      </c>
      <c r="AD390" t="s">
        <v>316</v>
      </c>
      <c r="AE390" t="s">
        <v>102</v>
      </c>
      <c r="AF390" t="s">
        <v>67</v>
      </c>
      <c r="AH390" t="b">
        <v>1</v>
      </c>
      <c r="AI390" t="b">
        <v>1</v>
      </c>
      <c r="AJ390" t="b">
        <v>0</v>
      </c>
      <c r="AK390" t="b">
        <v>1</v>
      </c>
      <c r="AL390" s="6">
        <v>0</v>
      </c>
      <c r="AM390" s="3">
        <v>45946.25</v>
      </c>
      <c r="AN390">
        <v>1</v>
      </c>
      <c r="AO390" s="3"/>
      <c r="AT390" t="b">
        <v>0</v>
      </c>
      <c r="AU390" t="s">
        <v>74</v>
      </c>
      <c r="AV390" t="b">
        <v>1</v>
      </c>
      <c r="AW390" t="b">
        <v>0</v>
      </c>
      <c r="AX390" s="5">
        <v>0</v>
      </c>
      <c r="AY390" s="3"/>
      <c r="AZ390" t="s">
        <v>67</v>
      </c>
      <c r="BA390" t="s">
        <v>67</v>
      </c>
      <c r="BB390" t="s">
        <v>317</v>
      </c>
    </row>
    <row r="391" spans="1:54" x14ac:dyDescent="0.3">
      <c r="A391">
        <v>1</v>
      </c>
      <c r="B391">
        <v>15</v>
      </c>
      <c r="C391" t="s">
        <v>54</v>
      </c>
      <c r="D391" s="3">
        <v>45800.3909375</v>
      </c>
      <c r="E391" s="8">
        <v>45800</v>
      </c>
      <c r="F391" t="s">
        <v>1662</v>
      </c>
      <c r="G391" t="s">
        <v>56</v>
      </c>
      <c r="H391" t="s">
        <v>1663</v>
      </c>
      <c r="I391" t="s">
        <v>1664</v>
      </c>
      <c r="J391" t="s">
        <v>593</v>
      </c>
      <c r="K391" t="s">
        <v>684</v>
      </c>
      <c r="L391" t="s">
        <v>595</v>
      </c>
      <c r="M391" t="s">
        <v>312</v>
      </c>
      <c r="N391" t="s">
        <v>312</v>
      </c>
      <c r="O391" t="s">
        <v>313</v>
      </c>
      <c r="P391" t="s">
        <v>314</v>
      </c>
      <c r="Q391" s="5">
        <v>1</v>
      </c>
      <c r="R391" s="6">
        <v>100</v>
      </c>
      <c r="S391" s="6">
        <v>100</v>
      </c>
      <c r="T391" s="6">
        <v>0</v>
      </c>
      <c r="U391" s="3">
        <v>45980.333333333343</v>
      </c>
      <c r="W391" t="s">
        <v>1665</v>
      </c>
      <c r="X391" t="s">
        <v>70</v>
      </c>
      <c r="Y391" t="s">
        <v>23</v>
      </c>
      <c r="Z391" t="s">
        <v>69</v>
      </c>
      <c r="AA391" t="s">
        <v>69</v>
      </c>
      <c r="AB391" t="s">
        <v>67</v>
      </c>
      <c r="AC391" t="s">
        <v>70</v>
      </c>
      <c r="AD391" t="s">
        <v>316</v>
      </c>
      <c r="AE391" t="s">
        <v>102</v>
      </c>
      <c r="AF391" t="s">
        <v>67</v>
      </c>
      <c r="AH391" t="b">
        <v>0</v>
      </c>
      <c r="AI391" t="b">
        <v>0</v>
      </c>
      <c r="AJ391" t="b">
        <v>0</v>
      </c>
      <c r="AK391" t="b">
        <v>0</v>
      </c>
      <c r="AL391" s="6">
        <v>0</v>
      </c>
      <c r="AM391" s="3">
        <v>45980.333333333343</v>
      </c>
      <c r="AN391">
        <v>1</v>
      </c>
      <c r="AO391" s="3"/>
      <c r="AT391" t="b">
        <v>0</v>
      </c>
      <c r="AU391" t="s">
        <v>74</v>
      </c>
      <c r="AV391" t="b">
        <v>1</v>
      </c>
      <c r="AW391" t="b">
        <v>0</v>
      </c>
      <c r="AX391" s="5">
        <v>0</v>
      </c>
      <c r="AY391" s="3"/>
      <c r="AZ391" t="s">
        <v>67</v>
      </c>
      <c r="BA391" t="s">
        <v>67</v>
      </c>
      <c r="BB391" t="s">
        <v>317</v>
      </c>
    </row>
    <row r="392" spans="1:54" x14ac:dyDescent="0.3">
      <c r="A392">
        <v>1</v>
      </c>
      <c r="B392">
        <v>15</v>
      </c>
      <c r="C392" t="s">
        <v>54</v>
      </c>
      <c r="D392" s="3">
        <v>45814.468819444453</v>
      </c>
      <c r="E392" s="8">
        <v>45842</v>
      </c>
      <c r="F392" t="s">
        <v>1666</v>
      </c>
      <c r="G392" t="s">
        <v>56</v>
      </c>
      <c r="H392" t="s">
        <v>1478</v>
      </c>
      <c r="I392" t="s">
        <v>1479</v>
      </c>
      <c r="J392" t="s">
        <v>749</v>
      </c>
      <c r="K392" t="s">
        <v>731</v>
      </c>
      <c r="L392" t="s">
        <v>751</v>
      </c>
      <c r="M392" t="s">
        <v>97</v>
      </c>
      <c r="N392" t="s">
        <v>97</v>
      </c>
      <c r="O392" t="s">
        <v>752</v>
      </c>
      <c r="P392" t="s">
        <v>753</v>
      </c>
      <c r="Q392" s="5">
        <v>1</v>
      </c>
      <c r="R392" s="6">
        <v>80</v>
      </c>
      <c r="S392" s="6">
        <v>80</v>
      </c>
      <c r="T392" s="6">
        <v>0</v>
      </c>
      <c r="U392" s="3">
        <v>46297.25</v>
      </c>
      <c r="W392" t="s">
        <v>1480</v>
      </c>
      <c r="X392" t="s">
        <v>70</v>
      </c>
      <c r="Y392" t="s">
        <v>23</v>
      </c>
      <c r="Z392" t="s">
        <v>69</v>
      </c>
      <c r="AA392" t="s">
        <v>69</v>
      </c>
      <c r="AB392" t="s">
        <v>70</v>
      </c>
      <c r="AC392" t="s">
        <v>70</v>
      </c>
      <c r="AD392" t="s">
        <v>101</v>
      </c>
      <c r="AE392" t="s">
        <v>102</v>
      </c>
      <c r="AF392" t="s">
        <v>67</v>
      </c>
      <c r="AG392" t="s">
        <v>752</v>
      </c>
      <c r="AH392" t="b">
        <v>0</v>
      </c>
      <c r="AI392" t="b">
        <v>0</v>
      </c>
      <c r="AJ392" t="b">
        <v>0</v>
      </c>
      <c r="AK392" t="b">
        <v>0</v>
      </c>
      <c r="AL392" s="6">
        <v>0</v>
      </c>
      <c r="AM392" s="3">
        <v>46297.25</v>
      </c>
      <c r="AN392">
        <v>1</v>
      </c>
      <c r="AO392" s="3"/>
      <c r="AT392" t="b">
        <v>0</v>
      </c>
      <c r="AU392" t="s">
        <v>74</v>
      </c>
      <c r="AV392" t="b">
        <v>1</v>
      </c>
      <c r="AW392" t="b">
        <v>0</v>
      </c>
      <c r="AX392" s="5">
        <v>0</v>
      </c>
      <c r="AY392" s="3"/>
      <c r="AZ392" t="s">
        <v>67</v>
      </c>
      <c r="BA392" t="s">
        <v>67</v>
      </c>
      <c r="BB392" t="s">
        <v>317</v>
      </c>
    </row>
    <row r="393" spans="1:54" x14ac:dyDescent="0.3">
      <c r="A393">
        <v>1</v>
      </c>
      <c r="B393">
        <v>15</v>
      </c>
      <c r="C393" t="s">
        <v>54</v>
      </c>
      <c r="D393" s="3">
        <v>45833.412928240738</v>
      </c>
      <c r="E393" s="8">
        <v>45835</v>
      </c>
      <c r="F393" t="s">
        <v>1667</v>
      </c>
      <c r="G393" t="s">
        <v>56</v>
      </c>
      <c r="H393" t="s">
        <v>1668</v>
      </c>
      <c r="I393" t="s">
        <v>1669</v>
      </c>
      <c r="J393" t="s">
        <v>593</v>
      </c>
      <c r="L393" t="s">
        <v>595</v>
      </c>
      <c r="M393" t="s">
        <v>312</v>
      </c>
      <c r="N393" t="s">
        <v>312</v>
      </c>
      <c r="O393" t="s">
        <v>313</v>
      </c>
      <c r="P393" t="s">
        <v>314</v>
      </c>
      <c r="Q393" s="5">
        <v>1</v>
      </c>
      <c r="R393" s="6">
        <v>100</v>
      </c>
      <c r="S393" s="6">
        <v>100</v>
      </c>
      <c r="T393" s="6">
        <v>0</v>
      </c>
      <c r="U393" s="3">
        <v>46129.229166666657</v>
      </c>
      <c r="W393" t="s">
        <v>1670</v>
      </c>
      <c r="X393" t="s">
        <v>70</v>
      </c>
      <c r="Y393" t="s">
        <v>23</v>
      </c>
      <c r="Z393" t="s">
        <v>69</v>
      </c>
      <c r="AA393" t="s">
        <v>69</v>
      </c>
      <c r="AB393" t="s">
        <v>67</v>
      </c>
      <c r="AC393" t="s">
        <v>70</v>
      </c>
      <c r="AD393" t="s">
        <v>316</v>
      </c>
      <c r="AE393" t="s">
        <v>102</v>
      </c>
      <c r="AF393" t="s">
        <v>67</v>
      </c>
      <c r="AH393" t="b">
        <v>1</v>
      </c>
      <c r="AI393" t="b">
        <v>1</v>
      </c>
      <c r="AJ393" t="b">
        <v>0</v>
      </c>
      <c r="AK393" t="b">
        <v>1</v>
      </c>
      <c r="AL393" s="6">
        <v>0</v>
      </c>
      <c r="AM393" s="3">
        <v>45855.458333333343</v>
      </c>
      <c r="AN393">
        <v>1</v>
      </c>
      <c r="AO393" s="3"/>
      <c r="AT393" t="b">
        <v>0</v>
      </c>
      <c r="AU393" t="s">
        <v>74</v>
      </c>
      <c r="AV393" t="b">
        <v>1</v>
      </c>
      <c r="AW393" t="b">
        <v>0</v>
      </c>
      <c r="AX393" s="5">
        <v>0</v>
      </c>
      <c r="AY393" s="3"/>
      <c r="AZ393" t="s">
        <v>67</v>
      </c>
      <c r="BA393" t="s">
        <v>67</v>
      </c>
      <c r="BB393" t="s">
        <v>317</v>
      </c>
    </row>
    <row r="394" spans="1:54" x14ac:dyDescent="0.3">
      <c r="A394">
        <v>1</v>
      </c>
      <c r="B394">
        <v>15</v>
      </c>
      <c r="C394" t="s">
        <v>54</v>
      </c>
      <c r="D394" s="3">
        <v>45833.427928240737</v>
      </c>
      <c r="E394" s="8">
        <v>45890</v>
      </c>
      <c r="F394" t="s">
        <v>1671</v>
      </c>
      <c r="G394" t="s">
        <v>56</v>
      </c>
      <c r="H394" t="s">
        <v>1672</v>
      </c>
      <c r="I394" t="s">
        <v>1673</v>
      </c>
      <c r="J394" t="s">
        <v>593</v>
      </c>
      <c r="K394" t="s">
        <v>634</v>
      </c>
      <c r="L394" t="s">
        <v>600</v>
      </c>
      <c r="M394" t="s">
        <v>312</v>
      </c>
      <c r="N394" t="s">
        <v>312</v>
      </c>
      <c r="O394" t="s">
        <v>313</v>
      </c>
      <c r="P394" t="s">
        <v>314</v>
      </c>
      <c r="Q394" s="5">
        <v>1</v>
      </c>
      <c r="R394" s="6">
        <v>100</v>
      </c>
      <c r="S394" s="6">
        <v>100</v>
      </c>
      <c r="T394" s="6">
        <v>0</v>
      </c>
      <c r="U394" s="3">
        <v>46107.208333333343</v>
      </c>
      <c r="W394" t="s">
        <v>1674</v>
      </c>
      <c r="X394" t="s">
        <v>70</v>
      </c>
      <c r="Y394" t="s">
        <v>23</v>
      </c>
      <c r="Z394" t="s">
        <v>69</v>
      </c>
      <c r="AA394" t="s">
        <v>69</v>
      </c>
      <c r="AB394" t="s">
        <v>67</v>
      </c>
      <c r="AC394" t="s">
        <v>70</v>
      </c>
      <c r="AD394" t="s">
        <v>316</v>
      </c>
      <c r="AE394" t="s">
        <v>102</v>
      </c>
      <c r="AF394" t="s">
        <v>67</v>
      </c>
      <c r="AH394" t="b">
        <v>0</v>
      </c>
      <c r="AI394" t="b">
        <v>1</v>
      </c>
      <c r="AJ394" t="b">
        <v>0</v>
      </c>
      <c r="AK394" t="b">
        <v>1</v>
      </c>
      <c r="AL394" s="6">
        <v>0</v>
      </c>
      <c r="AM394" s="3">
        <v>46107.208333333343</v>
      </c>
      <c r="AN394">
        <v>1</v>
      </c>
      <c r="AO394" s="3"/>
      <c r="AT394" t="b">
        <v>0</v>
      </c>
      <c r="AU394" t="s">
        <v>74</v>
      </c>
      <c r="AV394" t="b">
        <v>1</v>
      </c>
      <c r="AW394" t="b">
        <v>0</v>
      </c>
      <c r="AX394" s="5">
        <v>0</v>
      </c>
      <c r="AY394" s="3"/>
      <c r="AZ394" t="s">
        <v>67</v>
      </c>
      <c r="BA394" t="s">
        <v>67</v>
      </c>
      <c r="BB394" t="s">
        <v>317</v>
      </c>
    </row>
    <row r="395" spans="1:54" x14ac:dyDescent="0.3">
      <c r="A395">
        <v>1</v>
      </c>
      <c r="B395">
        <v>15</v>
      </c>
      <c r="C395" t="s">
        <v>54</v>
      </c>
      <c r="D395" s="3">
        <v>45833.43677083333</v>
      </c>
      <c r="E395" s="8">
        <v>45890</v>
      </c>
      <c r="F395" t="s">
        <v>1675</v>
      </c>
      <c r="G395" t="s">
        <v>56</v>
      </c>
      <c r="H395" t="s">
        <v>1676</v>
      </c>
      <c r="I395" t="s">
        <v>1677</v>
      </c>
      <c r="J395" t="s">
        <v>593</v>
      </c>
      <c r="K395" t="s">
        <v>902</v>
      </c>
      <c r="L395" t="s">
        <v>595</v>
      </c>
      <c r="M395" t="s">
        <v>312</v>
      </c>
      <c r="N395" t="s">
        <v>312</v>
      </c>
      <c r="O395" t="s">
        <v>313</v>
      </c>
      <c r="P395" t="s">
        <v>314</v>
      </c>
      <c r="Q395" s="5">
        <v>1</v>
      </c>
      <c r="R395" s="6">
        <v>100</v>
      </c>
      <c r="S395" s="6">
        <v>100</v>
      </c>
      <c r="T395" s="6">
        <v>0</v>
      </c>
      <c r="U395" s="3">
        <v>46280.479166666657</v>
      </c>
      <c r="W395" t="s">
        <v>1678</v>
      </c>
      <c r="X395" t="s">
        <v>70</v>
      </c>
      <c r="Y395" t="s">
        <v>23</v>
      </c>
      <c r="Z395" t="s">
        <v>69</v>
      </c>
      <c r="AA395" t="s">
        <v>69</v>
      </c>
      <c r="AB395" t="s">
        <v>70</v>
      </c>
      <c r="AC395" t="s">
        <v>70</v>
      </c>
      <c r="AD395" t="s">
        <v>316</v>
      </c>
      <c r="AE395" t="s">
        <v>102</v>
      </c>
      <c r="AF395" t="s">
        <v>67</v>
      </c>
      <c r="AH395" t="b">
        <v>0</v>
      </c>
      <c r="AI395" t="b">
        <v>0</v>
      </c>
      <c r="AJ395" t="b">
        <v>0</v>
      </c>
      <c r="AK395" t="b">
        <v>0</v>
      </c>
      <c r="AL395" s="6">
        <v>0</v>
      </c>
      <c r="AM395" s="3">
        <v>45890.256944444453</v>
      </c>
      <c r="AN395">
        <v>1</v>
      </c>
      <c r="AO395" s="3"/>
      <c r="AT395" t="b">
        <v>0</v>
      </c>
      <c r="AU395" t="s">
        <v>74</v>
      </c>
      <c r="AV395" t="b">
        <v>1</v>
      </c>
      <c r="AW395" t="b">
        <v>0</v>
      </c>
      <c r="AX395" s="5">
        <v>0</v>
      </c>
      <c r="AY395" s="3"/>
      <c r="AZ395" t="s">
        <v>67</v>
      </c>
      <c r="BA395" t="s">
        <v>67</v>
      </c>
      <c r="BB395" t="s">
        <v>317</v>
      </c>
    </row>
    <row r="396" spans="1:54" x14ac:dyDescent="0.3">
      <c r="A396">
        <v>1</v>
      </c>
      <c r="B396">
        <v>15</v>
      </c>
      <c r="C396" t="s">
        <v>54</v>
      </c>
      <c r="D396" s="3">
        <v>45834.746053240742</v>
      </c>
      <c r="E396" s="8">
        <v>45835</v>
      </c>
      <c r="F396" t="s">
        <v>1679</v>
      </c>
      <c r="G396" t="s">
        <v>56</v>
      </c>
      <c r="H396" t="s">
        <v>1680</v>
      </c>
      <c r="I396" t="s">
        <v>1681</v>
      </c>
      <c r="J396" t="s">
        <v>593</v>
      </c>
      <c r="L396" t="s">
        <v>595</v>
      </c>
      <c r="M396" t="s">
        <v>312</v>
      </c>
      <c r="N396" t="s">
        <v>312</v>
      </c>
      <c r="O396" t="s">
        <v>313</v>
      </c>
      <c r="P396" t="s">
        <v>314</v>
      </c>
      <c r="Q396" s="5">
        <v>1</v>
      </c>
      <c r="R396" s="6">
        <v>100</v>
      </c>
      <c r="S396" s="6">
        <v>100</v>
      </c>
      <c r="T396" s="6">
        <v>0</v>
      </c>
      <c r="U396" s="3">
        <v>46196.520833333343</v>
      </c>
      <c r="W396" t="s">
        <v>1682</v>
      </c>
      <c r="X396" t="s">
        <v>70</v>
      </c>
      <c r="Y396" t="s">
        <v>23</v>
      </c>
      <c r="Z396" t="s">
        <v>69</v>
      </c>
      <c r="AA396" t="s">
        <v>69</v>
      </c>
      <c r="AB396" t="s">
        <v>67</v>
      </c>
      <c r="AC396" t="s">
        <v>70</v>
      </c>
      <c r="AD396" t="s">
        <v>316</v>
      </c>
      <c r="AE396" t="s">
        <v>102</v>
      </c>
      <c r="AF396" t="s">
        <v>67</v>
      </c>
      <c r="AH396" t="b">
        <v>1</v>
      </c>
      <c r="AI396" t="b">
        <v>1</v>
      </c>
      <c r="AJ396" t="b">
        <v>0</v>
      </c>
      <c r="AK396" t="b">
        <v>1</v>
      </c>
      <c r="AL396" s="6">
        <v>0</v>
      </c>
      <c r="AM396" s="3">
        <v>45835.270833333343</v>
      </c>
      <c r="AN396">
        <v>1</v>
      </c>
      <c r="AO396" s="3"/>
      <c r="AT396" t="b">
        <v>0</v>
      </c>
      <c r="AU396" t="s">
        <v>74</v>
      </c>
      <c r="AV396" t="b">
        <v>1</v>
      </c>
      <c r="AW396" t="b">
        <v>0</v>
      </c>
      <c r="AX396" s="5">
        <v>0</v>
      </c>
      <c r="AY396" s="3"/>
      <c r="AZ396" t="s">
        <v>67</v>
      </c>
      <c r="BA396" t="s">
        <v>67</v>
      </c>
      <c r="BB396" t="s">
        <v>317</v>
      </c>
    </row>
    <row r="397" spans="1:54" x14ac:dyDescent="0.3">
      <c r="A397">
        <v>1</v>
      </c>
      <c r="B397">
        <v>15</v>
      </c>
      <c r="C397" t="s">
        <v>54</v>
      </c>
      <c r="D397" s="3">
        <v>45835.35833333333</v>
      </c>
      <c r="E397" s="8">
        <v>45835</v>
      </c>
      <c r="F397" t="s">
        <v>1683</v>
      </c>
      <c r="G397" t="s">
        <v>56</v>
      </c>
      <c r="H397" t="s">
        <v>1684</v>
      </c>
      <c r="I397" t="s">
        <v>1685</v>
      </c>
      <c r="J397" t="s">
        <v>593</v>
      </c>
      <c r="K397" t="s">
        <v>714</v>
      </c>
      <c r="L397" t="s">
        <v>595</v>
      </c>
      <c r="M397" t="s">
        <v>312</v>
      </c>
      <c r="N397" t="s">
        <v>312</v>
      </c>
      <c r="O397" t="s">
        <v>313</v>
      </c>
      <c r="P397" t="s">
        <v>314</v>
      </c>
      <c r="Q397" s="5">
        <v>1</v>
      </c>
      <c r="R397" s="6">
        <v>100</v>
      </c>
      <c r="S397" s="6">
        <v>100</v>
      </c>
      <c r="T397" s="6">
        <v>0</v>
      </c>
      <c r="U397" s="3">
        <v>46297.4375</v>
      </c>
      <c r="W397" t="s">
        <v>1686</v>
      </c>
      <c r="X397" t="s">
        <v>70</v>
      </c>
      <c r="Y397" t="s">
        <v>23</v>
      </c>
      <c r="Z397" t="s">
        <v>69</v>
      </c>
      <c r="AA397" t="s">
        <v>69</v>
      </c>
      <c r="AB397" t="s">
        <v>67</v>
      </c>
      <c r="AC397" t="s">
        <v>70</v>
      </c>
      <c r="AD397" t="s">
        <v>316</v>
      </c>
      <c r="AE397" t="s">
        <v>102</v>
      </c>
      <c r="AF397" t="s">
        <v>67</v>
      </c>
      <c r="AH397" t="b">
        <v>1</v>
      </c>
      <c r="AI397" t="b">
        <v>0</v>
      </c>
      <c r="AJ397" t="b">
        <v>0</v>
      </c>
      <c r="AK397" t="b">
        <v>0</v>
      </c>
      <c r="AL397" s="6">
        <v>0</v>
      </c>
      <c r="AM397" s="3">
        <v>45835.25</v>
      </c>
      <c r="AN397">
        <v>1</v>
      </c>
      <c r="AO397" s="3"/>
      <c r="AT397" t="b">
        <v>0</v>
      </c>
      <c r="AU397" t="s">
        <v>74</v>
      </c>
      <c r="AV397" t="b">
        <v>1</v>
      </c>
      <c r="AW397" t="b">
        <v>0</v>
      </c>
      <c r="AX397" s="5">
        <v>0</v>
      </c>
      <c r="AY397" s="3"/>
      <c r="AZ397" t="s">
        <v>67</v>
      </c>
      <c r="BA397" t="s">
        <v>67</v>
      </c>
      <c r="BB397" t="s">
        <v>317</v>
      </c>
    </row>
    <row r="398" spans="1:54" x14ac:dyDescent="0.3">
      <c r="A398">
        <v>1</v>
      </c>
      <c r="B398">
        <v>15</v>
      </c>
      <c r="C398" t="s">
        <v>54</v>
      </c>
      <c r="D398" s="3">
        <v>45835.451678240737</v>
      </c>
      <c r="E398" s="8">
        <v>45835</v>
      </c>
      <c r="F398" t="s">
        <v>1687</v>
      </c>
      <c r="G398" t="s">
        <v>56</v>
      </c>
      <c r="H398" t="s">
        <v>1688</v>
      </c>
      <c r="I398" t="s">
        <v>1689</v>
      </c>
      <c r="J398" t="s">
        <v>593</v>
      </c>
      <c r="K398" t="s">
        <v>634</v>
      </c>
      <c r="L398" t="s">
        <v>600</v>
      </c>
      <c r="M398" t="s">
        <v>312</v>
      </c>
      <c r="N398" t="s">
        <v>312</v>
      </c>
      <c r="O398" t="s">
        <v>313</v>
      </c>
      <c r="P398" t="s">
        <v>314</v>
      </c>
      <c r="Q398" s="5">
        <v>1</v>
      </c>
      <c r="R398" s="6">
        <v>100</v>
      </c>
      <c r="S398" s="6">
        <v>100</v>
      </c>
      <c r="T398" s="6">
        <v>0</v>
      </c>
      <c r="U398" s="3">
        <v>46192.229166666657</v>
      </c>
      <c r="W398" t="s">
        <v>1690</v>
      </c>
      <c r="X398" t="s">
        <v>70</v>
      </c>
      <c r="Y398" t="s">
        <v>23</v>
      </c>
      <c r="Z398" t="s">
        <v>69</v>
      </c>
      <c r="AA398" t="s">
        <v>69</v>
      </c>
      <c r="AB398" t="s">
        <v>67</v>
      </c>
      <c r="AC398" t="s">
        <v>70</v>
      </c>
      <c r="AD398" t="s">
        <v>316</v>
      </c>
      <c r="AE398" t="s">
        <v>102</v>
      </c>
      <c r="AF398" t="s">
        <v>67</v>
      </c>
      <c r="AH398" t="b">
        <v>0</v>
      </c>
      <c r="AI398" t="b">
        <v>0</v>
      </c>
      <c r="AJ398" t="b">
        <v>0</v>
      </c>
      <c r="AK398" t="b">
        <v>0</v>
      </c>
      <c r="AL398" s="6">
        <v>0</v>
      </c>
      <c r="AM398" s="3">
        <v>46192.229166666657</v>
      </c>
      <c r="AN398">
        <v>1</v>
      </c>
      <c r="AO398" s="3"/>
      <c r="AT398" t="b">
        <v>0</v>
      </c>
      <c r="AU398" t="s">
        <v>74</v>
      </c>
      <c r="AV398" t="b">
        <v>1</v>
      </c>
      <c r="AW398" t="b">
        <v>0</v>
      </c>
      <c r="AX398" s="5">
        <v>0</v>
      </c>
      <c r="AY398" s="3"/>
      <c r="AZ398" t="s">
        <v>67</v>
      </c>
      <c r="BA398" t="s">
        <v>67</v>
      </c>
      <c r="BB398" t="s">
        <v>317</v>
      </c>
    </row>
    <row r="399" spans="1:54" x14ac:dyDescent="0.3">
      <c r="A399">
        <v>1</v>
      </c>
      <c r="B399">
        <v>15</v>
      </c>
      <c r="C399" t="s">
        <v>54</v>
      </c>
      <c r="D399" s="3">
        <v>45835.644421296303</v>
      </c>
      <c r="E399" s="8">
        <v>45835</v>
      </c>
      <c r="F399" t="s">
        <v>1691</v>
      </c>
      <c r="G399" t="s">
        <v>56</v>
      </c>
      <c r="H399" t="s">
        <v>1692</v>
      </c>
      <c r="I399" t="s">
        <v>1693</v>
      </c>
      <c r="J399" t="s">
        <v>593</v>
      </c>
      <c r="L399" t="s">
        <v>600</v>
      </c>
      <c r="M399" t="s">
        <v>312</v>
      </c>
      <c r="N399" t="s">
        <v>312</v>
      </c>
      <c r="O399" t="s">
        <v>313</v>
      </c>
      <c r="P399" t="s">
        <v>314</v>
      </c>
      <c r="Q399" s="5">
        <v>1</v>
      </c>
      <c r="R399" s="6">
        <v>100</v>
      </c>
      <c r="S399" s="6">
        <v>100</v>
      </c>
      <c r="T399" s="6">
        <v>0</v>
      </c>
      <c r="U399" s="3">
        <v>46288.520833333343</v>
      </c>
      <c r="W399" t="s">
        <v>1694</v>
      </c>
      <c r="X399" t="s">
        <v>70</v>
      </c>
      <c r="Y399" t="s">
        <v>23</v>
      </c>
      <c r="Z399" t="s">
        <v>69</v>
      </c>
      <c r="AA399" t="s">
        <v>69</v>
      </c>
      <c r="AB399" t="s">
        <v>67</v>
      </c>
      <c r="AC399" t="s">
        <v>70</v>
      </c>
      <c r="AD399" t="s">
        <v>316</v>
      </c>
      <c r="AE399" t="s">
        <v>102</v>
      </c>
      <c r="AF399" t="s">
        <v>67</v>
      </c>
      <c r="AH399" t="b">
        <v>0</v>
      </c>
      <c r="AI399" t="b">
        <v>0</v>
      </c>
      <c r="AJ399" t="b">
        <v>0</v>
      </c>
      <c r="AK399" t="b">
        <v>0</v>
      </c>
      <c r="AL399" s="6">
        <v>0</v>
      </c>
      <c r="AM399" s="3">
        <v>45890.25</v>
      </c>
      <c r="AN399">
        <v>1</v>
      </c>
      <c r="AO399" s="3"/>
      <c r="AT399" t="b">
        <v>0</v>
      </c>
      <c r="AU399" t="s">
        <v>74</v>
      </c>
      <c r="AV399" t="b">
        <v>1</v>
      </c>
      <c r="AW399" t="b">
        <v>0</v>
      </c>
      <c r="AX399" s="5">
        <v>0</v>
      </c>
      <c r="AY399" s="3"/>
      <c r="AZ399" t="s">
        <v>67</v>
      </c>
      <c r="BA399" t="s">
        <v>67</v>
      </c>
      <c r="BB399" t="s">
        <v>317</v>
      </c>
    </row>
    <row r="400" spans="1:54" x14ac:dyDescent="0.3">
      <c r="A400">
        <v>1</v>
      </c>
      <c r="B400">
        <v>15</v>
      </c>
      <c r="C400" t="s">
        <v>54</v>
      </c>
      <c r="D400" s="3">
        <v>45854.422106481477</v>
      </c>
      <c r="E400" s="8">
        <v>45889</v>
      </c>
      <c r="F400" t="s">
        <v>1695</v>
      </c>
      <c r="G400" t="s">
        <v>56</v>
      </c>
      <c r="H400" t="s">
        <v>1696</v>
      </c>
      <c r="I400" t="s">
        <v>1697</v>
      </c>
      <c r="J400" t="s">
        <v>593</v>
      </c>
      <c r="L400" t="s">
        <v>595</v>
      </c>
      <c r="M400" t="s">
        <v>312</v>
      </c>
      <c r="N400" t="s">
        <v>312</v>
      </c>
      <c r="O400" t="s">
        <v>313</v>
      </c>
      <c r="P400" t="s">
        <v>314</v>
      </c>
      <c r="Q400" s="5">
        <v>1</v>
      </c>
      <c r="R400" s="6">
        <v>100</v>
      </c>
      <c r="S400" s="6">
        <v>100</v>
      </c>
      <c r="T400" s="6">
        <v>0</v>
      </c>
      <c r="U400" s="3">
        <v>46253.25</v>
      </c>
      <c r="W400" t="s">
        <v>1698</v>
      </c>
      <c r="X400" t="s">
        <v>70</v>
      </c>
      <c r="Y400" t="s">
        <v>23</v>
      </c>
      <c r="Z400" t="s">
        <v>69</v>
      </c>
      <c r="AA400" t="s">
        <v>69</v>
      </c>
      <c r="AB400" t="s">
        <v>67</v>
      </c>
      <c r="AC400" t="s">
        <v>70</v>
      </c>
      <c r="AD400" t="s">
        <v>316</v>
      </c>
      <c r="AE400" t="s">
        <v>102</v>
      </c>
      <c r="AF400" t="s">
        <v>67</v>
      </c>
      <c r="AH400" t="b">
        <v>1</v>
      </c>
      <c r="AI400" t="b">
        <v>1</v>
      </c>
      <c r="AJ400" t="b">
        <v>0</v>
      </c>
      <c r="AK400" t="b">
        <v>1</v>
      </c>
      <c r="AL400" s="6">
        <v>0</v>
      </c>
      <c r="AM400" s="3">
        <v>45889.229166666657</v>
      </c>
      <c r="AN400">
        <v>1</v>
      </c>
      <c r="AO400" s="3"/>
      <c r="AT400" t="b">
        <v>0</v>
      </c>
      <c r="AU400" t="s">
        <v>74</v>
      </c>
      <c r="AV400" t="b">
        <v>1</v>
      </c>
      <c r="AW400" t="b">
        <v>0</v>
      </c>
      <c r="AX400" s="5">
        <v>0</v>
      </c>
      <c r="AY400" s="3"/>
      <c r="AZ400" t="s">
        <v>67</v>
      </c>
      <c r="BA400" t="s">
        <v>67</v>
      </c>
      <c r="BB400" t="s">
        <v>317</v>
      </c>
    </row>
    <row r="401" spans="1:54" x14ac:dyDescent="0.3">
      <c r="A401">
        <v>1</v>
      </c>
      <c r="B401">
        <v>15</v>
      </c>
      <c r="C401" t="s">
        <v>54</v>
      </c>
      <c r="D401" s="3">
        <v>45855.345000000001</v>
      </c>
      <c r="E401" s="8">
        <v>45855</v>
      </c>
      <c r="F401" t="s">
        <v>1699</v>
      </c>
      <c r="G401" t="s">
        <v>56</v>
      </c>
      <c r="H401" t="s">
        <v>1668</v>
      </c>
      <c r="I401" t="s">
        <v>1669</v>
      </c>
      <c r="J401" t="s">
        <v>593</v>
      </c>
      <c r="L401" t="s">
        <v>595</v>
      </c>
      <c r="M401" t="s">
        <v>312</v>
      </c>
      <c r="N401" t="s">
        <v>312</v>
      </c>
      <c r="O401" t="s">
        <v>313</v>
      </c>
      <c r="P401" t="s">
        <v>314</v>
      </c>
      <c r="Q401" s="5">
        <v>1</v>
      </c>
      <c r="R401" s="6">
        <v>100</v>
      </c>
      <c r="S401" s="6">
        <v>100</v>
      </c>
      <c r="T401" s="6">
        <v>0</v>
      </c>
      <c r="U401" s="3">
        <v>46129.229166666657</v>
      </c>
      <c r="W401" t="s">
        <v>1670</v>
      </c>
      <c r="X401" t="s">
        <v>70</v>
      </c>
      <c r="Y401" t="s">
        <v>23</v>
      </c>
      <c r="Z401" t="s">
        <v>69</v>
      </c>
      <c r="AA401" t="s">
        <v>69</v>
      </c>
      <c r="AB401" t="s">
        <v>67</v>
      </c>
      <c r="AC401" t="s">
        <v>70</v>
      </c>
      <c r="AD401" t="s">
        <v>316</v>
      </c>
      <c r="AE401" t="s">
        <v>102</v>
      </c>
      <c r="AF401" t="s">
        <v>67</v>
      </c>
      <c r="AH401" t="b">
        <v>1</v>
      </c>
      <c r="AI401" t="b">
        <v>1</v>
      </c>
      <c r="AJ401" t="b">
        <v>0</v>
      </c>
      <c r="AK401" t="b">
        <v>1</v>
      </c>
      <c r="AL401" s="6">
        <v>0</v>
      </c>
      <c r="AM401" s="3">
        <v>45855.458333333343</v>
      </c>
      <c r="AN401">
        <v>1</v>
      </c>
      <c r="AO401" s="3"/>
      <c r="AT401" t="b">
        <v>0</v>
      </c>
      <c r="AU401" t="s">
        <v>74</v>
      </c>
      <c r="AV401" t="b">
        <v>1</v>
      </c>
      <c r="AW401" t="b">
        <v>0</v>
      </c>
      <c r="AX401" s="5">
        <v>0</v>
      </c>
      <c r="AY401" s="3"/>
      <c r="AZ401" t="s">
        <v>67</v>
      </c>
      <c r="BA401" t="s">
        <v>67</v>
      </c>
      <c r="BB401" t="s">
        <v>317</v>
      </c>
    </row>
    <row r="402" spans="1:54" x14ac:dyDescent="0.3">
      <c r="A402">
        <v>1</v>
      </c>
      <c r="B402">
        <v>15</v>
      </c>
      <c r="C402" t="s">
        <v>54</v>
      </c>
      <c r="D402" s="3">
        <v>45855.345439814817</v>
      </c>
      <c r="E402" s="8">
        <v>45855</v>
      </c>
      <c r="F402" t="s">
        <v>1700</v>
      </c>
      <c r="G402" t="s">
        <v>56</v>
      </c>
      <c r="H402" t="s">
        <v>1668</v>
      </c>
      <c r="I402" t="s">
        <v>1669</v>
      </c>
      <c r="J402" t="s">
        <v>593</v>
      </c>
      <c r="L402" t="s">
        <v>595</v>
      </c>
      <c r="M402" t="s">
        <v>312</v>
      </c>
      <c r="N402" t="s">
        <v>312</v>
      </c>
      <c r="O402" t="s">
        <v>313</v>
      </c>
      <c r="P402" t="s">
        <v>314</v>
      </c>
      <c r="Q402" s="5">
        <v>1</v>
      </c>
      <c r="R402" s="6">
        <v>100</v>
      </c>
      <c r="S402" s="6">
        <v>100</v>
      </c>
      <c r="T402" s="6">
        <v>0</v>
      </c>
      <c r="U402" s="3">
        <v>46129.229166666657</v>
      </c>
      <c r="W402" t="s">
        <v>1670</v>
      </c>
      <c r="X402" t="s">
        <v>70</v>
      </c>
      <c r="Y402" t="s">
        <v>23</v>
      </c>
      <c r="Z402" t="s">
        <v>69</v>
      </c>
      <c r="AA402" t="s">
        <v>69</v>
      </c>
      <c r="AB402" t="s">
        <v>67</v>
      </c>
      <c r="AC402" t="s">
        <v>70</v>
      </c>
      <c r="AD402" t="s">
        <v>316</v>
      </c>
      <c r="AE402" t="s">
        <v>102</v>
      </c>
      <c r="AF402" t="s">
        <v>67</v>
      </c>
      <c r="AH402" t="b">
        <v>1</v>
      </c>
      <c r="AI402" t="b">
        <v>1</v>
      </c>
      <c r="AJ402" t="b">
        <v>0</v>
      </c>
      <c r="AK402" t="b">
        <v>1</v>
      </c>
      <c r="AL402" s="6">
        <v>0</v>
      </c>
      <c r="AM402" s="3">
        <v>45855.458333333343</v>
      </c>
      <c r="AN402">
        <v>1</v>
      </c>
      <c r="AO402" s="3"/>
      <c r="AT402" t="b">
        <v>0</v>
      </c>
      <c r="AU402" t="s">
        <v>74</v>
      </c>
      <c r="AV402" t="b">
        <v>1</v>
      </c>
      <c r="AW402" t="b">
        <v>0</v>
      </c>
      <c r="AX402" s="5">
        <v>0</v>
      </c>
      <c r="AY402" s="3"/>
      <c r="AZ402" t="s">
        <v>67</v>
      </c>
      <c r="BA402" t="s">
        <v>67</v>
      </c>
      <c r="BB402" t="s">
        <v>317</v>
      </c>
    </row>
    <row r="403" spans="1:54" x14ac:dyDescent="0.3">
      <c r="A403">
        <v>1</v>
      </c>
      <c r="B403">
        <v>15</v>
      </c>
      <c r="C403" t="s">
        <v>54</v>
      </c>
      <c r="D403" s="3">
        <v>45877.642384259263</v>
      </c>
      <c r="E403" s="8">
        <v>45877</v>
      </c>
      <c r="F403" t="s">
        <v>1701</v>
      </c>
      <c r="G403" t="s">
        <v>56</v>
      </c>
      <c r="H403" t="s">
        <v>673</v>
      </c>
      <c r="I403" t="s">
        <v>674</v>
      </c>
      <c r="J403" t="s">
        <v>749</v>
      </c>
      <c r="L403" t="s">
        <v>751</v>
      </c>
      <c r="M403" t="s">
        <v>97</v>
      </c>
      <c r="N403" t="s">
        <v>97</v>
      </c>
      <c r="O403" t="s">
        <v>1072</v>
      </c>
      <c r="P403" t="s">
        <v>1073</v>
      </c>
      <c r="Q403" s="5">
        <v>3</v>
      </c>
      <c r="R403" s="6">
        <v>727</v>
      </c>
      <c r="S403" s="6">
        <v>2181</v>
      </c>
      <c r="T403" s="6">
        <v>1362</v>
      </c>
      <c r="U403" s="3">
        <v>46344.458333333343</v>
      </c>
      <c r="W403" t="s">
        <v>675</v>
      </c>
      <c r="X403" t="s">
        <v>70</v>
      </c>
      <c r="Y403" t="s">
        <v>23</v>
      </c>
      <c r="Z403" t="s">
        <v>69</v>
      </c>
      <c r="AA403" t="s">
        <v>69</v>
      </c>
      <c r="AB403" t="s">
        <v>67</v>
      </c>
      <c r="AC403" t="s">
        <v>70</v>
      </c>
      <c r="AD403" t="s">
        <v>101</v>
      </c>
      <c r="AE403" t="s">
        <v>102</v>
      </c>
      <c r="AF403" t="s">
        <v>67</v>
      </c>
      <c r="AH403" t="b">
        <v>0</v>
      </c>
      <c r="AI403" t="b">
        <v>0</v>
      </c>
      <c r="AJ403" t="b">
        <v>0</v>
      </c>
      <c r="AK403" t="b">
        <v>0</v>
      </c>
      <c r="AL403" s="6">
        <v>454</v>
      </c>
      <c r="AM403" s="3">
        <v>46242.354166666657</v>
      </c>
      <c r="AN403">
        <v>1</v>
      </c>
      <c r="AO403" s="3"/>
      <c r="AT403" t="b">
        <v>0</v>
      </c>
      <c r="AU403" t="s">
        <v>74</v>
      </c>
      <c r="AV403" t="b">
        <v>1</v>
      </c>
      <c r="AW403" t="b">
        <v>0</v>
      </c>
      <c r="AX403" s="5">
        <v>0</v>
      </c>
      <c r="AY403" s="3"/>
      <c r="AZ403" t="s">
        <v>67</v>
      </c>
      <c r="BA403" t="s">
        <v>67</v>
      </c>
      <c r="BB403" t="s">
        <v>317</v>
      </c>
    </row>
    <row r="404" spans="1:54" x14ac:dyDescent="0.3">
      <c r="A404">
        <v>1</v>
      </c>
      <c r="B404">
        <v>15</v>
      </c>
      <c r="C404" t="s">
        <v>54</v>
      </c>
      <c r="D404" s="3">
        <v>45877.642384259263</v>
      </c>
      <c r="E404" s="8">
        <v>45877</v>
      </c>
      <c r="F404" t="s">
        <v>1701</v>
      </c>
      <c r="G404" t="s">
        <v>56</v>
      </c>
      <c r="H404" t="s">
        <v>673</v>
      </c>
      <c r="I404" t="s">
        <v>674</v>
      </c>
      <c r="J404" t="s">
        <v>749</v>
      </c>
      <c r="L404" t="s">
        <v>751</v>
      </c>
      <c r="M404" t="s">
        <v>97</v>
      </c>
      <c r="N404" t="s">
        <v>97</v>
      </c>
      <c r="O404" t="s">
        <v>752</v>
      </c>
      <c r="P404" t="s">
        <v>753</v>
      </c>
      <c r="Q404" s="5">
        <v>2</v>
      </c>
      <c r="R404" s="6">
        <v>80</v>
      </c>
      <c r="S404" s="6">
        <v>160</v>
      </c>
      <c r="T404" s="6">
        <v>0</v>
      </c>
      <c r="U404" s="3">
        <v>46344.458333333343</v>
      </c>
      <c r="W404" t="s">
        <v>675</v>
      </c>
      <c r="X404" t="s">
        <v>70</v>
      </c>
      <c r="Y404" t="s">
        <v>23</v>
      </c>
      <c r="Z404" t="s">
        <v>69</v>
      </c>
      <c r="AA404" t="s">
        <v>69</v>
      </c>
      <c r="AB404" t="s">
        <v>67</v>
      </c>
      <c r="AC404" t="s">
        <v>70</v>
      </c>
      <c r="AD404" t="s">
        <v>101</v>
      </c>
      <c r="AE404" t="s">
        <v>102</v>
      </c>
      <c r="AF404" t="s">
        <v>67</v>
      </c>
      <c r="AG404" t="s">
        <v>752</v>
      </c>
      <c r="AH404" t="b">
        <v>0</v>
      </c>
      <c r="AI404" t="b">
        <v>0</v>
      </c>
      <c r="AJ404" t="b">
        <v>0</v>
      </c>
      <c r="AK404" t="b">
        <v>0</v>
      </c>
      <c r="AL404" s="6">
        <v>0</v>
      </c>
      <c r="AM404" s="3">
        <v>46242.354166666657</v>
      </c>
      <c r="AN404">
        <v>1</v>
      </c>
      <c r="AO404" s="3"/>
      <c r="AT404" t="b">
        <v>0</v>
      </c>
      <c r="AU404" t="s">
        <v>74</v>
      </c>
      <c r="AV404" t="b">
        <v>1</v>
      </c>
      <c r="AW404" t="b">
        <v>0</v>
      </c>
      <c r="AX404" s="5">
        <v>0</v>
      </c>
      <c r="AY404" s="3"/>
      <c r="AZ404" t="s">
        <v>67</v>
      </c>
      <c r="BA404" t="s">
        <v>67</v>
      </c>
      <c r="BB404" t="s">
        <v>317</v>
      </c>
    </row>
    <row r="405" spans="1:54" x14ac:dyDescent="0.3">
      <c r="A405">
        <v>1</v>
      </c>
      <c r="B405">
        <v>15</v>
      </c>
      <c r="C405" t="s">
        <v>54</v>
      </c>
      <c r="D405" s="3">
        <v>45889.413680555554</v>
      </c>
      <c r="E405" s="8">
        <v>45889</v>
      </c>
      <c r="F405" t="s">
        <v>1702</v>
      </c>
      <c r="G405" t="s">
        <v>56</v>
      </c>
      <c r="H405" t="s">
        <v>1703</v>
      </c>
      <c r="I405" t="s">
        <v>1704</v>
      </c>
      <c r="J405" t="s">
        <v>593</v>
      </c>
      <c r="K405" t="s">
        <v>790</v>
      </c>
      <c r="L405" t="s">
        <v>595</v>
      </c>
      <c r="M405" t="s">
        <v>312</v>
      </c>
      <c r="N405" t="s">
        <v>312</v>
      </c>
      <c r="O405" t="s">
        <v>313</v>
      </c>
      <c r="P405" t="s">
        <v>314</v>
      </c>
      <c r="Q405" s="5">
        <v>1</v>
      </c>
      <c r="R405" s="6">
        <v>100</v>
      </c>
      <c r="S405" s="6">
        <v>100</v>
      </c>
      <c r="T405" s="6">
        <v>0</v>
      </c>
      <c r="U405" s="3">
        <v>45889.458333333343</v>
      </c>
      <c r="W405" t="s">
        <v>1705</v>
      </c>
      <c r="X405" t="s">
        <v>70</v>
      </c>
      <c r="Y405" t="s">
        <v>23</v>
      </c>
      <c r="Z405" t="s">
        <v>69</v>
      </c>
      <c r="AA405" t="s">
        <v>69</v>
      </c>
      <c r="AB405" t="s">
        <v>67</v>
      </c>
      <c r="AC405" t="s">
        <v>70</v>
      </c>
      <c r="AD405" t="s">
        <v>316</v>
      </c>
      <c r="AE405" t="s">
        <v>102</v>
      </c>
      <c r="AF405" t="s">
        <v>67</v>
      </c>
      <c r="AH405" t="b">
        <v>1</v>
      </c>
      <c r="AI405" t="b">
        <v>1</v>
      </c>
      <c r="AJ405" t="b">
        <v>0</v>
      </c>
      <c r="AK405" t="b">
        <v>1</v>
      </c>
      <c r="AL405" s="6">
        <v>0</v>
      </c>
      <c r="AM405" s="3">
        <v>45889.458333333343</v>
      </c>
      <c r="AN405">
        <v>1</v>
      </c>
      <c r="AO405" s="3"/>
      <c r="AT405" t="b">
        <v>0</v>
      </c>
      <c r="AU405" t="s">
        <v>74</v>
      </c>
      <c r="AV405" t="b">
        <v>1</v>
      </c>
      <c r="AW405" t="b">
        <v>0</v>
      </c>
      <c r="AX405" s="5">
        <v>0</v>
      </c>
      <c r="AY405" s="3"/>
      <c r="AZ405" t="s">
        <v>67</v>
      </c>
      <c r="BA405" t="s">
        <v>67</v>
      </c>
      <c r="BB405" t="s">
        <v>317</v>
      </c>
    </row>
    <row r="406" spans="1:54" x14ac:dyDescent="0.3">
      <c r="A406">
        <v>1</v>
      </c>
      <c r="B406">
        <v>15</v>
      </c>
      <c r="C406" t="s">
        <v>54</v>
      </c>
      <c r="D406" s="3">
        <v>45889.418993055559</v>
      </c>
      <c r="E406" s="8">
        <v>45889</v>
      </c>
      <c r="F406" t="s">
        <v>1706</v>
      </c>
      <c r="G406" t="s">
        <v>56</v>
      </c>
      <c r="H406" t="s">
        <v>1707</v>
      </c>
      <c r="I406" t="s">
        <v>1708</v>
      </c>
      <c r="J406" t="s">
        <v>593</v>
      </c>
      <c r="K406" t="s">
        <v>889</v>
      </c>
      <c r="L406" t="s">
        <v>595</v>
      </c>
      <c r="M406" t="s">
        <v>312</v>
      </c>
      <c r="N406" t="s">
        <v>312</v>
      </c>
      <c r="O406" t="s">
        <v>313</v>
      </c>
      <c r="P406" t="s">
        <v>314</v>
      </c>
      <c r="Q406" s="5">
        <v>1</v>
      </c>
      <c r="R406" s="6">
        <v>100</v>
      </c>
      <c r="S406" s="6">
        <v>100</v>
      </c>
      <c r="T406" s="6">
        <v>0</v>
      </c>
      <c r="U406" s="3">
        <v>45889.4375</v>
      </c>
      <c r="W406" t="s">
        <v>1709</v>
      </c>
      <c r="X406" t="s">
        <v>70</v>
      </c>
      <c r="Y406" t="s">
        <v>23</v>
      </c>
      <c r="Z406" t="s">
        <v>69</v>
      </c>
      <c r="AA406" t="s">
        <v>69</v>
      </c>
      <c r="AB406" t="s">
        <v>67</v>
      </c>
      <c r="AC406" t="s">
        <v>70</v>
      </c>
      <c r="AD406" t="s">
        <v>316</v>
      </c>
      <c r="AE406" t="s">
        <v>102</v>
      </c>
      <c r="AF406" t="s">
        <v>67</v>
      </c>
      <c r="AH406" t="b">
        <v>0</v>
      </c>
      <c r="AI406" t="b">
        <v>0</v>
      </c>
      <c r="AJ406" t="b">
        <v>0</v>
      </c>
      <c r="AK406" t="b">
        <v>0</v>
      </c>
      <c r="AL406" s="6">
        <v>0</v>
      </c>
      <c r="AM406" s="3">
        <v>45889.4375</v>
      </c>
      <c r="AN406">
        <v>1</v>
      </c>
      <c r="AO406" s="3"/>
      <c r="AT406" t="b">
        <v>0</v>
      </c>
      <c r="AU406" t="s">
        <v>74</v>
      </c>
      <c r="AV406" t="b">
        <v>1</v>
      </c>
      <c r="AW406" t="b">
        <v>0</v>
      </c>
      <c r="AX406" s="5">
        <v>0</v>
      </c>
      <c r="AY406" s="3"/>
      <c r="AZ406" t="s">
        <v>67</v>
      </c>
      <c r="BA406" t="s">
        <v>67</v>
      </c>
      <c r="BB406" t="s">
        <v>317</v>
      </c>
    </row>
    <row r="407" spans="1:54" x14ac:dyDescent="0.3">
      <c r="A407">
        <v>1</v>
      </c>
      <c r="B407">
        <v>15</v>
      </c>
      <c r="C407" t="s">
        <v>54</v>
      </c>
      <c r="D407" s="3">
        <v>45889.423576388886</v>
      </c>
      <c r="E407" s="8">
        <v>45889</v>
      </c>
      <c r="F407" t="s">
        <v>1710</v>
      </c>
      <c r="G407" t="s">
        <v>56</v>
      </c>
      <c r="H407" t="s">
        <v>1711</v>
      </c>
      <c r="I407" t="s">
        <v>1712</v>
      </c>
      <c r="J407" t="s">
        <v>593</v>
      </c>
      <c r="L407" t="s">
        <v>595</v>
      </c>
      <c r="M407" t="s">
        <v>312</v>
      </c>
      <c r="N407" t="s">
        <v>312</v>
      </c>
      <c r="O407" t="s">
        <v>313</v>
      </c>
      <c r="P407" t="s">
        <v>314</v>
      </c>
      <c r="Q407" s="5">
        <v>1</v>
      </c>
      <c r="R407" s="6">
        <v>100</v>
      </c>
      <c r="S407" s="6">
        <v>100</v>
      </c>
      <c r="T407" s="6">
        <v>0</v>
      </c>
      <c r="U407" s="3">
        <v>46052.208333333343</v>
      </c>
      <c r="W407" t="s">
        <v>1713</v>
      </c>
      <c r="X407" t="s">
        <v>70</v>
      </c>
      <c r="Y407" t="s">
        <v>23</v>
      </c>
      <c r="Z407" t="s">
        <v>69</v>
      </c>
      <c r="AA407" t="s">
        <v>69</v>
      </c>
      <c r="AB407" t="s">
        <v>67</v>
      </c>
      <c r="AC407" t="s">
        <v>70</v>
      </c>
      <c r="AD407" t="s">
        <v>316</v>
      </c>
      <c r="AE407" t="s">
        <v>102</v>
      </c>
      <c r="AF407" t="s">
        <v>67</v>
      </c>
      <c r="AH407" t="b">
        <v>1</v>
      </c>
      <c r="AI407" t="b">
        <v>0</v>
      </c>
      <c r="AJ407" t="b">
        <v>0</v>
      </c>
      <c r="AK407" t="b">
        <v>0</v>
      </c>
      <c r="AL407" s="6">
        <v>0</v>
      </c>
      <c r="AM407" s="3">
        <v>45947.25</v>
      </c>
      <c r="AN407">
        <v>1</v>
      </c>
      <c r="AO407" s="3"/>
      <c r="AT407" t="b">
        <v>0</v>
      </c>
      <c r="AU407" t="s">
        <v>74</v>
      </c>
      <c r="AV407" t="b">
        <v>1</v>
      </c>
      <c r="AW407" t="b">
        <v>0</v>
      </c>
      <c r="AX407" s="5">
        <v>0</v>
      </c>
      <c r="AY407" s="3"/>
      <c r="AZ407" t="s">
        <v>67</v>
      </c>
      <c r="BA407" t="s">
        <v>67</v>
      </c>
      <c r="BB407" t="s">
        <v>317</v>
      </c>
    </row>
    <row r="408" spans="1:54" x14ac:dyDescent="0.3">
      <c r="A408">
        <v>1</v>
      </c>
      <c r="B408">
        <v>15</v>
      </c>
      <c r="C408" t="s">
        <v>54</v>
      </c>
      <c r="D408" s="3">
        <v>45889.431921296287</v>
      </c>
      <c r="E408" s="8">
        <v>45889</v>
      </c>
      <c r="F408" t="s">
        <v>1714</v>
      </c>
      <c r="G408" t="s">
        <v>56</v>
      </c>
      <c r="H408" t="s">
        <v>1715</v>
      </c>
      <c r="I408" t="s">
        <v>1716</v>
      </c>
      <c r="J408" t="s">
        <v>593</v>
      </c>
      <c r="K408" t="s">
        <v>164</v>
      </c>
      <c r="L408" t="s">
        <v>595</v>
      </c>
      <c r="M408" t="s">
        <v>312</v>
      </c>
      <c r="O408" t="s">
        <v>313</v>
      </c>
      <c r="P408" t="s">
        <v>314</v>
      </c>
      <c r="Q408" s="5">
        <v>1</v>
      </c>
      <c r="R408" s="6">
        <v>100</v>
      </c>
      <c r="S408" s="6">
        <v>100</v>
      </c>
      <c r="T408" s="6">
        <v>0</v>
      </c>
      <c r="U408" s="3">
        <v>46279.208333333343</v>
      </c>
      <c r="W408" t="s">
        <v>1717</v>
      </c>
      <c r="X408" t="s">
        <v>70</v>
      </c>
      <c r="Y408" t="s">
        <v>23</v>
      </c>
      <c r="Z408" t="s">
        <v>69</v>
      </c>
      <c r="AA408" t="s">
        <v>69</v>
      </c>
      <c r="AB408" t="s">
        <v>67</v>
      </c>
      <c r="AC408" t="s">
        <v>70</v>
      </c>
      <c r="AD408" t="s">
        <v>316</v>
      </c>
      <c r="AE408" t="s">
        <v>102</v>
      </c>
      <c r="AF408" t="s">
        <v>67</v>
      </c>
      <c r="AH408" t="b">
        <v>1</v>
      </c>
      <c r="AI408" t="b">
        <v>1</v>
      </c>
      <c r="AJ408" t="b">
        <v>0</v>
      </c>
      <c r="AK408" t="b">
        <v>1</v>
      </c>
      <c r="AL408" s="6">
        <v>0</v>
      </c>
      <c r="AM408" s="3">
        <v>46073.458333333343</v>
      </c>
      <c r="AN408">
        <v>1</v>
      </c>
      <c r="AO408" s="3"/>
      <c r="AT408" t="b">
        <v>0</v>
      </c>
      <c r="AU408" t="s">
        <v>74</v>
      </c>
      <c r="AV408" t="b">
        <v>1</v>
      </c>
      <c r="AW408" t="b">
        <v>0</v>
      </c>
      <c r="AX408" s="5">
        <v>0</v>
      </c>
      <c r="AY408" s="3"/>
      <c r="AZ408" t="s">
        <v>67</v>
      </c>
      <c r="BA408" t="s">
        <v>67</v>
      </c>
      <c r="BB408" t="s">
        <v>317</v>
      </c>
    </row>
    <row r="409" spans="1:54" x14ac:dyDescent="0.3">
      <c r="A409">
        <v>1</v>
      </c>
      <c r="B409">
        <v>15</v>
      </c>
      <c r="C409" t="s">
        <v>54</v>
      </c>
      <c r="D409" s="3">
        <v>45889.432280092587</v>
      </c>
      <c r="E409" s="8">
        <v>45889</v>
      </c>
      <c r="F409" t="s">
        <v>1718</v>
      </c>
      <c r="G409" t="s">
        <v>56</v>
      </c>
      <c r="H409" t="s">
        <v>1715</v>
      </c>
      <c r="I409" t="s">
        <v>1716</v>
      </c>
      <c r="J409" t="s">
        <v>593</v>
      </c>
      <c r="K409" t="s">
        <v>164</v>
      </c>
      <c r="L409" t="s">
        <v>595</v>
      </c>
      <c r="M409" t="s">
        <v>312</v>
      </c>
      <c r="O409" t="s">
        <v>313</v>
      </c>
      <c r="P409" t="s">
        <v>314</v>
      </c>
      <c r="Q409" s="5">
        <v>1</v>
      </c>
      <c r="R409" s="6">
        <v>100</v>
      </c>
      <c r="S409" s="6">
        <v>100</v>
      </c>
      <c r="T409" s="6">
        <v>0</v>
      </c>
      <c r="U409" s="3">
        <v>46279.208333333343</v>
      </c>
      <c r="W409" t="s">
        <v>1717</v>
      </c>
      <c r="X409" t="s">
        <v>70</v>
      </c>
      <c r="Y409" t="s">
        <v>23</v>
      </c>
      <c r="Z409" t="s">
        <v>69</v>
      </c>
      <c r="AA409" t="s">
        <v>69</v>
      </c>
      <c r="AB409" t="s">
        <v>67</v>
      </c>
      <c r="AC409" t="s">
        <v>70</v>
      </c>
      <c r="AD409" t="s">
        <v>316</v>
      </c>
      <c r="AE409" t="s">
        <v>102</v>
      </c>
      <c r="AF409" t="s">
        <v>67</v>
      </c>
      <c r="AH409" t="b">
        <v>1</v>
      </c>
      <c r="AI409" t="b">
        <v>1</v>
      </c>
      <c r="AJ409" t="b">
        <v>0</v>
      </c>
      <c r="AK409" t="b">
        <v>1</v>
      </c>
      <c r="AL409" s="6">
        <v>0</v>
      </c>
      <c r="AM409" s="3">
        <v>46073.458333333343</v>
      </c>
      <c r="AN409">
        <v>1</v>
      </c>
      <c r="AO409" s="3"/>
      <c r="AT409" t="b">
        <v>0</v>
      </c>
      <c r="AU409" t="s">
        <v>74</v>
      </c>
      <c r="AV409" t="b">
        <v>1</v>
      </c>
      <c r="AW409" t="b">
        <v>0</v>
      </c>
      <c r="AX409" s="5">
        <v>0</v>
      </c>
      <c r="AY409" s="3"/>
      <c r="AZ409" t="s">
        <v>67</v>
      </c>
      <c r="BA409" t="s">
        <v>67</v>
      </c>
      <c r="BB409" t="s">
        <v>317</v>
      </c>
    </row>
    <row r="410" spans="1:54" x14ac:dyDescent="0.3">
      <c r="A410">
        <v>1</v>
      </c>
      <c r="B410">
        <v>15</v>
      </c>
      <c r="C410" t="s">
        <v>54</v>
      </c>
      <c r="D410" s="3">
        <v>45889.432337962957</v>
      </c>
      <c r="E410" s="8">
        <v>45889</v>
      </c>
      <c r="F410" t="s">
        <v>1719</v>
      </c>
      <c r="G410" t="s">
        <v>56</v>
      </c>
      <c r="H410" t="s">
        <v>1720</v>
      </c>
      <c r="I410" t="s">
        <v>1721</v>
      </c>
      <c r="J410" t="s">
        <v>593</v>
      </c>
      <c r="K410" t="s">
        <v>652</v>
      </c>
      <c r="L410" t="s">
        <v>595</v>
      </c>
      <c r="M410" t="s">
        <v>312</v>
      </c>
      <c r="N410" t="s">
        <v>312</v>
      </c>
      <c r="O410" t="s">
        <v>313</v>
      </c>
      <c r="P410" t="s">
        <v>314</v>
      </c>
      <c r="Q410" s="5">
        <v>2</v>
      </c>
      <c r="R410" s="6">
        <v>100</v>
      </c>
      <c r="S410" s="6">
        <v>200</v>
      </c>
      <c r="T410" s="6">
        <v>0</v>
      </c>
      <c r="U410" s="3">
        <v>46239.229166666657</v>
      </c>
      <c r="W410" t="s">
        <v>1722</v>
      </c>
      <c r="X410" t="s">
        <v>70</v>
      </c>
      <c r="Y410" t="s">
        <v>23</v>
      </c>
      <c r="Z410" t="s">
        <v>69</v>
      </c>
      <c r="AA410" t="s">
        <v>69</v>
      </c>
      <c r="AB410" t="s">
        <v>67</v>
      </c>
      <c r="AC410" t="s">
        <v>70</v>
      </c>
      <c r="AD410" t="s">
        <v>316</v>
      </c>
      <c r="AE410" t="s">
        <v>102</v>
      </c>
      <c r="AF410" t="s">
        <v>67</v>
      </c>
      <c r="AH410" t="b">
        <v>0</v>
      </c>
      <c r="AI410" t="b">
        <v>0</v>
      </c>
      <c r="AJ410" t="b">
        <v>0</v>
      </c>
      <c r="AK410" t="b">
        <v>0</v>
      </c>
      <c r="AL410" s="6">
        <v>0</v>
      </c>
      <c r="AM410" s="3">
        <v>45982.277777777781</v>
      </c>
      <c r="AN410">
        <v>1</v>
      </c>
      <c r="AO410" s="3"/>
      <c r="AT410" t="b">
        <v>0</v>
      </c>
      <c r="AU410" t="s">
        <v>74</v>
      </c>
      <c r="AV410" t="b">
        <v>1</v>
      </c>
      <c r="AW410" t="b">
        <v>0</v>
      </c>
      <c r="AX410" s="5">
        <v>0</v>
      </c>
      <c r="AY410" s="3"/>
      <c r="AZ410" t="s">
        <v>67</v>
      </c>
      <c r="BA410" t="s">
        <v>67</v>
      </c>
      <c r="BB410" t="s">
        <v>317</v>
      </c>
    </row>
    <row r="411" spans="1:54" x14ac:dyDescent="0.3">
      <c r="A411">
        <v>1</v>
      </c>
      <c r="B411">
        <v>15</v>
      </c>
      <c r="C411" t="s">
        <v>54</v>
      </c>
      <c r="D411" s="3">
        <v>45889.438287037039</v>
      </c>
      <c r="E411" s="8">
        <v>45889</v>
      </c>
      <c r="F411" t="s">
        <v>1723</v>
      </c>
      <c r="G411" t="s">
        <v>56</v>
      </c>
      <c r="H411" t="s">
        <v>1724</v>
      </c>
      <c r="I411" t="s">
        <v>1725</v>
      </c>
      <c r="J411" t="s">
        <v>593</v>
      </c>
      <c r="L411" t="s">
        <v>595</v>
      </c>
      <c r="M411" t="s">
        <v>312</v>
      </c>
      <c r="N411" t="s">
        <v>312</v>
      </c>
      <c r="O411" t="s">
        <v>313</v>
      </c>
      <c r="P411" t="s">
        <v>314</v>
      </c>
      <c r="Q411" s="5">
        <v>1</v>
      </c>
      <c r="R411" s="6">
        <v>100</v>
      </c>
      <c r="S411" s="6">
        <v>100</v>
      </c>
      <c r="T411" s="6">
        <v>0</v>
      </c>
      <c r="U411" s="3">
        <v>45894.25</v>
      </c>
      <c r="W411" t="s">
        <v>1726</v>
      </c>
      <c r="X411" t="s">
        <v>70</v>
      </c>
      <c r="Y411" t="s">
        <v>23</v>
      </c>
      <c r="Z411" t="s">
        <v>69</v>
      </c>
      <c r="AA411" t="s">
        <v>69</v>
      </c>
      <c r="AB411" t="s">
        <v>67</v>
      </c>
      <c r="AC411" t="s">
        <v>70</v>
      </c>
      <c r="AD411" t="s">
        <v>316</v>
      </c>
      <c r="AE411" t="s">
        <v>102</v>
      </c>
      <c r="AF411" t="s">
        <v>67</v>
      </c>
      <c r="AH411" t="b">
        <v>0</v>
      </c>
      <c r="AI411" t="b">
        <v>1</v>
      </c>
      <c r="AJ411" t="b">
        <v>0</v>
      </c>
      <c r="AK411" t="b">
        <v>1</v>
      </c>
      <c r="AL411" s="6">
        <v>0</v>
      </c>
      <c r="AM411" s="3">
        <v>45891.25</v>
      </c>
      <c r="AN411">
        <v>1</v>
      </c>
      <c r="AO411" s="3"/>
      <c r="AT411" t="b">
        <v>0</v>
      </c>
      <c r="AU411" t="s">
        <v>74</v>
      </c>
      <c r="AV411" t="b">
        <v>1</v>
      </c>
      <c r="AW411" t="b">
        <v>0</v>
      </c>
      <c r="AX411" s="5">
        <v>0</v>
      </c>
      <c r="AY411" s="3"/>
      <c r="AZ411" t="s">
        <v>67</v>
      </c>
      <c r="BA411" t="s">
        <v>67</v>
      </c>
      <c r="BB411" t="s">
        <v>317</v>
      </c>
    </row>
    <row r="412" spans="1:54" x14ac:dyDescent="0.3">
      <c r="A412">
        <v>1</v>
      </c>
      <c r="B412">
        <v>15</v>
      </c>
      <c r="C412" t="s">
        <v>54</v>
      </c>
      <c r="D412" s="3">
        <v>45889.460416666669</v>
      </c>
      <c r="E412" s="8">
        <v>45889</v>
      </c>
      <c r="F412" t="s">
        <v>1727</v>
      </c>
      <c r="G412" t="s">
        <v>56</v>
      </c>
      <c r="H412" t="s">
        <v>1728</v>
      </c>
      <c r="I412" t="s">
        <v>1729</v>
      </c>
      <c r="J412" t="s">
        <v>593</v>
      </c>
      <c r="K412" t="s">
        <v>731</v>
      </c>
      <c r="L412" t="s">
        <v>595</v>
      </c>
      <c r="M412" t="s">
        <v>312</v>
      </c>
      <c r="N412" t="s">
        <v>312</v>
      </c>
      <c r="O412" t="s">
        <v>313</v>
      </c>
      <c r="P412" t="s">
        <v>314</v>
      </c>
      <c r="Q412" s="5">
        <v>1</v>
      </c>
      <c r="R412" s="6">
        <v>100</v>
      </c>
      <c r="S412" s="6">
        <v>100</v>
      </c>
      <c r="T412" s="6">
        <v>0</v>
      </c>
      <c r="U412" s="3">
        <v>46073.298611111109</v>
      </c>
      <c r="W412" t="s">
        <v>1730</v>
      </c>
      <c r="X412" t="s">
        <v>70</v>
      </c>
      <c r="Y412" t="s">
        <v>23</v>
      </c>
      <c r="Z412" t="s">
        <v>69</v>
      </c>
      <c r="AA412" t="s">
        <v>69</v>
      </c>
      <c r="AB412" t="s">
        <v>67</v>
      </c>
      <c r="AC412" t="s">
        <v>70</v>
      </c>
      <c r="AD412" t="s">
        <v>316</v>
      </c>
      <c r="AE412" t="s">
        <v>102</v>
      </c>
      <c r="AF412" t="s">
        <v>67</v>
      </c>
      <c r="AH412" t="b">
        <v>1</v>
      </c>
      <c r="AI412" t="b">
        <v>0</v>
      </c>
      <c r="AJ412" t="b">
        <v>0</v>
      </c>
      <c r="AK412" t="b">
        <v>0</v>
      </c>
      <c r="AL412" s="6">
        <v>0</v>
      </c>
      <c r="AM412" s="3">
        <v>45890.4375</v>
      </c>
      <c r="AN412">
        <v>1</v>
      </c>
      <c r="AO412" s="3"/>
      <c r="AT412" t="b">
        <v>0</v>
      </c>
      <c r="AU412" t="s">
        <v>74</v>
      </c>
      <c r="AV412" t="b">
        <v>1</v>
      </c>
      <c r="AW412" t="b">
        <v>0</v>
      </c>
      <c r="AX412" s="5">
        <v>0</v>
      </c>
      <c r="AY412" s="3"/>
      <c r="AZ412" t="s">
        <v>67</v>
      </c>
      <c r="BA412" t="s">
        <v>67</v>
      </c>
      <c r="BB412" t="s">
        <v>317</v>
      </c>
    </row>
    <row r="413" spans="1:54" x14ac:dyDescent="0.3">
      <c r="A413">
        <v>1</v>
      </c>
      <c r="B413">
        <v>15</v>
      </c>
      <c r="C413" t="s">
        <v>54</v>
      </c>
      <c r="D413" s="3">
        <v>45889.6487037037</v>
      </c>
      <c r="E413" s="8">
        <v>45889</v>
      </c>
      <c r="F413" t="s">
        <v>1731</v>
      </c>
      <c r="G413" t="s">
        <v>56</v>
      </c>
      <c r="H413" t="s">
        <v>1732</v>
      </c>
      <c r="I413" t="s">
        <v>1733</v>
      </c>
      <c r="J413" t="s">
        <v>593</v>
      </c>
      <c r="K413" t="s">
        <v>704</v>
      </c>
      <c r="L413" t="s">
        <v>595</v>
      </c>
      <c r="M413" t="s">
        <v>312</v>
      </c>
      <c r="N413" t="s">
        <v>312</v>
      </c>
      <c r="O413" t="s">
        <v>313</v>
      </c>
      <c r="P413" t="s">
        <v>314</v>
      </c>
      <c r="Q413" s="5">
        <v>1</v>
      </c>
      <c r="R413" s="6">
        <v>100</v>
      </c>
      <c r="S413" s="6">
        <v>100</v>
      </c>
      <c r="T413" s="6">
        <v>0</v>
      </c>
      <c r="U413" s="3">
        <v>46036.479166666657</v>
      </c>
      <c r="W413" t="s">
        <v>1734</v>
      </c>
      <c r="X413" t="s">
        <v>70</v>
      </c>
      <c r="Y413" t="s">
        <v>23</v>
      </c>
      <c r="Z413" t="s">
        <v>69</v>
      </c>
      <c r="AA413" t="s">
        <v>69</v>
      </c>
      <c r="AB413" t="s">
        <v>67</v>
      </c>
      <c r="AC413" t="s">
        <v>70</v>
      </c>
      <c r="AD413" t="s">
        <v>316</v>
      </c>
      <c r="AE413" t="s">
        <v>102</v>
      </c>
      <c r="AF413" t="s">
        <v>67</v>
      </c>
      <c r="AH413" t="b">
        <v>0</v>
      </c>
      <c r="AI413" t="b">
        <v>1</v>
      </c>
      <c r="AJ413" t="b">
        <v>0</v>
      </c>
      <c r="AK413" t="b">
        <v>1</v>
      </c>
      <c r="AL413" s="6">
        <v>0</v>
      </c>
      <c r="AM413" s="3">
        <v>46036.479166666657</v>
      </c>
      <c r="AN413">
        <v>1</v>
      </c>
      <c r="AO413" s="3"/>
      <c r="AT413" t="b">
        <v>0</v>
      </c>
      <c r="AU413" t="s">
        <v>74</v>
      </c>
      <c r="AV413" t="b">
        <v>1</v>
      </c>
      <c r="AW413" t="b">
        <v>0</v>
      </c>
      <c r="AX413" s="5">
        <v>0</v>
      </c>
      <c r="AY413" s="3"/>
      <c r="AZ413" t="s">
        <v>67</v>
      </c>
      <c r="BA413" t="s">
        <v>67</v>
      </c>
      <c r="BB413" t="s">
        <v>317</v>
      </c>
    </row>
    <row r="414" spans="1:54" x14ac:dyDescent="0.3">
      <c r="A414">
        <v>1</v>
      </c>
      <c r="B414">
        <v>15</v>
      </c>
      <c r="C414" t="s">
        <v>54</v>
      </c>
      <c r="D414" s="3">
        <v>45889.667326388888</v>
      </c>
      <c r="E414" s="8">
        <v>45889</v>
      </c>
      <c r="F414" t="s">
        <v>1735</v>
      </c>
      <c r="G414" t="s">
        <v>56</v>
      </c>
      <c r="H414" t="s">
        <v>1736</v>
      </c>
      <c r="I414" t="s">
        <v>1737</v>
      </c>
      <c r="J414" t="s">
        <v>593</v>
      </c>
      <c r="K414" t="s">
        <v>661</v>
      </c>
      <c r="L414" t="s">
        <v>595</v>
      </c>
      <c r="M414" t="s">
        <v>312</v>
      </c>
      <c r="O414" t="s">
        <v>313</v>
      </c>
      <c r="P414" t="s">
        <v>314</v>
      </c>
      <c r="Q414" s="5">
        <v>1</v>
      </c>
      <c r="R414" s="6">
        <v>100</v>
      </c>
      <c r="S414" s="6">
        <v>100</v>
      </c>
      <c r="T414" s="6">
        <v>0</v>
      </c>
      <c r="U414" s="3">
        <v>46137.25</v>
      </c>
      <c r="W414" t="s">
        <v>1738</v>
      </c>
      <c r="X414" t="s">
        <v>70</v>
      </c>
      <c r="Y414" t="s">
        <v>23</v>
      </c>
      <c r="Z414" t="s">
        <v>69</v>
      </c>
      <c r="AA414" t="s">
        <v>69</v>
      </c>
      <c r="AB414" t="s">
        <v>67</v>
      </c>
      <c r="AC414" t="s">
        <v>70</v>
      </c>
      <c r="AD414" t="s">
        <v>316</v>
      </c>
      <c r="AE414" t="s">
        <v>102</v>
      </c>
      <c r="AF414" t="s">
        <v>67</v>
      </c>
      <c r="AH414" t="b">
        <v>1</v>
      </c>
      <c r="AI414" t="b">
        <v>1</v>
      </c>
      <c r="AJ414" t="b">
        <v>0</v>
      </c>
      <c r="AK414" t="b">
        <v>1</v>
      </c>
      <c r="AL414" s="6">
        <v>0</v>
      </c>
      <c r="AM414" s="3">
        <v>46137.25</v>
      </c>
      <c r="AN414">
        <v>1</v>
      </c>
      <c r="AO414" s="3"/>
      <c r="AT414" t="b">
        <v>0</v>
      </c>
      <c r="AU414" t="s">
        <v>74</v>
      </c>
      <c r="AV414" t="b">
        <v>1</v>
      </c>
      <c r="AW414" t="b">
        <v>0</v>
      </c>
      <c r="AX414" s="5">
        <v>0</v>
      </c>
      <c r="AY414" s="3"/>
      <c r="AZ414" t="s">
        <v>67</v>
      </c>
      <c r="BA414" t="s">
        <v>67</v>
      </c>
      <c r="BB414" t="s">
        <v>317</v>
      </c>
    </row>
    <row r="415" spans="1:54" x14ac:dyDescent="0.3">
      <c r="A415">
        <v>1</v>
      </c>
      <c r="B415">
        <v>15</v>
      </c>
      <c r="C415" t="s">
        <v>54</v>
      </c>
      <c r="D415" s="3">
        <v>45889.667800925927</v>
      </c>
      <c r="E415" s="8">
        <v>45889</v>
      </c>
      <c r="F415" t="s">
        <v>1739</v>
      </c>
      <c r="G415" t="s">
        <v>56</v>
      </c>
      <c r="H415" t="s">
        <v>1740</v>
      </c>
      <c r="I415" t="s">
        <v>1741</v>
      </c>
      <c r="J415" t="s">
        <v>593</v>
      </c>
      <c r="K415" t="s">
        <v>615</v>
      </c>
      <c r="L415" t="s">
        <v>595</v>
      </c>
      <c r="M415" t="s">
        <v>312</v>
      </c>
      <c r="O415" t="s">
        <v>313</v>
      </c>
      <c r="P415" t="s">
        <v>314</v>
      </c>
      <c r="Q415" s="5">
        <v>1</v>
      </c>
      <c r="R415" s="6">
        <v>100</v>
      </c>
      <c r="S415" s="6">
        <v>100</v>
      </c>
      <c r="T415" s="6">
        <v>0</v>
      </c>
      <c r="U415" s="3">
        <v>46297.229166666657</v>
      </c>
      <c r="W415" t="s">
        <v>1742</v>
      </c>
      <c r="X415" t="s">
        <v>70</v>
      </c>
      <c r="Y415" t="s">
        <v>23</v>
      </c>
      <c r="Z415" t="s">
        <v>69</v>
      </c>
      <c r="AA415" t="s">
        <v>69</v>
      </c>
      <c r="AB415" t="s">
        <v>67</v>
      </c>
      <c r="AC415" t="s">
        <v>70</v>
      </c>
      <c r="AD415" t="s">
        <v>316</v>
      </c>
      <c r="AE415" t="s">
        <v>102</v>
      </c>
      <c r="AF415" t="s">
        <v>67</v>
      </c>
      <c r="AH415" t="b">
        <v>1</v>
      </c>
      <c r="AI415" t="b">
        <v>1</v>
      </c>
      <c r="AJ415" t="b">
        <v>0</v>
      </c>
      <c r="AK415" t="b">
        <v>1</v>
      </c>
      <c r="AL415" s="6">
        <v>0</v>
      </c>
      <c r="AM415" s="3">
        <v>46137.25</v>
      </c>
      <c r="AN415">
        <v>1</v>
      </c>
      <c r="AO415" s="3"/>
      <c r="AT415" t="b">
        <v>0</v>
      </c>
      <c r="AU415" t="s">
        <v>74</v>
      </c>
      <c r="AV415" t="b">
        <v>1</v>
      </c>
      <c r="AW415" t="b">
        <v>0</v>
      </c>
      <c r="AX415" s="5">
        <v>0</v>
      </c>
      <c r="AY415" s="3"/>
      <c r="AZ415" t="s">
        <v>67</v>
      </c>
      <c r="BA415" t="s">
        <v>67</v>
      </c>
      <c r="BB415" t="s">
        <v>317</v>
      </c>
    </row>
    <row r="416" spans="1:54" x14ac:dyDescent="0.3">
      <c r="A416">
        <v>1</v>
      </c>
      <c r="B416">
        <v>15</v>
      </c>
      <c r="C416" t="s">
        <v>54</v>
      </c>
      <c r="D416" s="3">
        <v>45889.711550925917</v>
      </c>
      <c r="E416" s="8">
        <v>45891</v>
      </c>
      <c r="F416" t="s">
        <v>1743</v>
      </c>
      <c r="G416" t="s">
        <v>56</v>
      </c>
      <c r="H416" t="s">
        <v>1744</v>
      </c>
      <c r="I416" t="s">
        <v>1745</v>
      </c>
      <c r="J416" t="s">
        <v>593</v>
      </c>
      <c r="K416" t="s">
        <v>634</v>
      </c>
      <c r="L416" t="s">
        <v>600</v>
      </c>
      <c r="M416" t="s">
        <v>312</v>
      </c>
      <c r="N416" t="s">
        <v>312</v>
      </c>
      <c r="O416" t="s">
        <v>313</v>
      </c>
      <c r="P416" t="s">
        <v>314</v>
      </c>
      <c r="Q416" s="5">
        <v>1</v>
      </c>
      <c r="R416" s="6">
        <v>100</v>
      </c>
      <c r="S416" s="6">
        <v>100</v>
      </c>
      <c r="T416" s="6">
        <v>0</v>
      </c>
      <c r="U416" s="3">
        <v>45946.458333333343</v>
      </c>
      <c r="W416" t="s">
        <v>1746</v>
      </c>
      <c r="X416" t="s">
        <v>70</v>
      </c>
      <c r="Y416" t="s">
        <v>23</v>
      </c>
      <c r="Z416" t="s">
        <v>69</v>
      </c>
      <c r="AA416" t="s">
        <v>69</v>
      </c>
      <c r="AB416" t="s">
        <v>70</v>
      </c>
      <c r="AC416" t="s">
        <v>70</v>
      </c>
      <c r="AD416" t="s">
        <v>316</v>
      </c>
      <c r="AE416" t="s">
        <v>102</v>
      </c>
      <c r="AF416" t="s">
        <v>67</v>
      </c>
      <c r="AH416" t="b">
        <v>0</v>
      </c>
      <c r="AI416" t="b">
        <v>0</v>
      </c>
      <c r="AJ416" t="b">
        <v>0</v>
      </c>
      <c r="AK416" t="b">
        <v>0</v>
      </c>
      <c r="AL416" s="6">
        <v>0</v>
      </c>
      <c r="AM416" s="3">
        <v>45946.458333333343</v>
      </c>
      <c r="AN416">
        <v>1</v>
      </c>
      <c r="AO416" s="3"/>
      <c r="AT416" t="b">
        <v>0</v>
      </c>
      <c r="AU416" t="s">
        <v>74</v>
      </c>
      <c r="AV416" t="b">
        <v>1</v>
      </c>
      <c r="AW416" t="b">
        <v>0</v>
      </c>
      <c r="AX416" s="5">
        <v>0</v>
      </c>
      <c r="AY416" s="3"/>
      <c r="AZ416" t="s">
        <v>67</v>
      </c>
      <c r="BA416" t="s">
        <v>67</v>
      </c>
      <c r="BB416" t="s">
        <v>317</v>
      </c>
    </row>
    <row r="417" spans="1:54" x14ac:dyDescent="0.3">
      <c r="A417">
        <v>1</v>
      </c>
      <c r="B417">
        <v>15</v>
      </c>
      <c r="C417" t="s">
        <v>54</v>
      </c>
      <c r="D417" s="3">
        <v>45889.719537037039</v>
      </c>
      <c r="E417" s="8">
        <v>45890</v>
      </c>
      <c r="F417" t="s">
        <v>1747</v>
      </c>
      <c r="G417" t="s">
        <v>56</v>
      </c>
      <c r="H417" t="s">
        <v>1748</v>
      </c>
      <c r="I417" t="s">
        <v>1749</v>
      </c>
      <c r="J417" t="s">
        <v>593</v>
      </c>
      <c r="K417" t="s">
        <v>1750</v>
      </c>
      <c r="L417" t="s">
        <v>595</v>
      </c>
      <c r="M417" t="s">
        <v>312</v>
      </c>
      <c r="O417" t="s">
        <v>313</v>
      </c>
      <c r="P417" t="s">
        <v>314</v>
      </c>
      <c r="Q417" s="5">
        <v>1</v>
      </c>
      <c r="R417" s="6">
        <v>100</v>
      </c>
      <c r="S417" s="6">
        <v>100</v>
      </c>
      <c r="T417" s="6">
        <v>0</v>
      </c>
      <c r="U417" s="3">
        <v>46191.458333333343</v>
      </c>
      <c r="W417" t="s">
        <v>1751</v>
      </c>
      <c r="X417" t="s">
        <v>70</v>
      </c>
      <c r="Y417" t="s">
        <v>23</v>
      </c>
      <c r="Z417" t="s">
        <v>69</v>
      </c>
      <c r="AA417" t="s">
        <v>69</v>
      </c>
      <c r="AB417" t="s">
        <v>67</v>
      </c>
      <c r="AC417" t="s">
        <v>70</v>
      </c>
      <c r="AD417" t="s">
        <v>316</v>
      </c>
      <c r="AE417" t="s">
        <v>102</v>
      </c>
      <c r="AF417" t="s">
        <v>67</v>
      </c>
      <c r="AH417" t="b">
        <v>0</v>
      </c>
      <c r="AI417" t="b">
        <v>1</v>
      </c>
      <c r="AJ417" t="b">
        <v>0</v>
      </c>
      <c r="AK417" t="b">
        <v>1</v>
      </c>
      <c r="AL417" s="6">
        <v>0</v>
      </c>
      <c r="AM417" s="3">
        <v>46191.458333333343</v>
      </c>
      <c r="AN417">
        <v>1</v>
      </c>
      <c r="AO417" s="3"/>
      <c r="AT417" t="b">
        <v>0</v>
      </c>
      <c r="AU417" t="s">
        <v>74</v>
      </c>
      <c r="AV417" t="b">
        <v>1</v>
      </c>
      <c r="AW417" t="b">
        <v>0</v>
      </c>
      <c r="AX417" s="5">
        <v>0</v>
      </c>
      <c r="AY417" s="3"/>
      <c r="AZ417" t="s">
        <v>67</v>
      </c>
      <c r="BA417" t="s">
        <v>67</v>
      </c>
      <c r="BB417" t="s">
        <v>317</v>
      </c>
    </row>
    <row r="418" spans="1:54" x14ac:dyDescent="0.3">
      <c r="A418">
        <v>1</v>
      </c>
      <c r="B418">
        <v>15</v>
      </c>
      <c r="C418" t="s">
        <v>54</v>
      </c>
      <c r="D418" s="3">
        <v>45890.510069444441</v>
      </c>
      <c r="E418" s="8">
        <v>45890</v>
      </c>
      <c r="F418" t="s">
        <v>1752</v>
      </c>
      <c r="G418" t="s">
        <v>56</v>
      </c>
      <c r="H418" t="s">
        <v>104</v>
      </c>
      <c r="I418" t="s">
        <v>105</v>
      </c>
      <c r="J418" t="s">
        <v>593</v>
      </c>
      <c r="L418" t="s">
        <v>595</v>
      </c>
      <c r="M418" t="s">
        <v>312</v>
      </c>
      <c r="N418" t="s">
        <v>312</v>
      </c>
      <c r="O418" t="s">
        <v>313</v>
      </c>
      <c r="P418" t="s">
        <v>314</v>
      </c>
      <c r="Q418" s="5">
        <v>2</v>
      </c>
      <c r="R418" s="6">
        <v>100</v>
      </c>
      <c r="S418" s="6">
        <v>200</v>
      </c>
      <c r="T418" s="6">
        <v>0</v>
      </c>
      <c r="U418" s="3">
        <v>46298.25</v>
      </c>
      <c r="W418" t="s">
        <v>1753</v>
      </c>
      <c r="X418" t="s">
        <v>70</v>
      </c>
      <c r="Y418" t="s">
        <v>23</v>
      </c>
      <c r="Z418" t="s">
        <v>69</v>
      </c>
      <c r="AA418" t="s">
        <v>69</v>
      </c>
      <c r="AB418" t="s">
        <v>67</v>
      </c>
      <c r="AC418" t="s">
        <v>70</v>
      </c>
      <c r="AD418" t="s">
        <v>316</v>
      </c>
      <c r="AE418" t="s">
        <v>102</v>
      </c>
      <c r="AF418" t="s">
        <v>67</v>
      </c>
      <c r="AH418" t="b">
        <v>1</v>
      </c>
      <c r="AI418" t="b">
        <v>1</v>
      </c>
      <c r="AJ418" t="b">
        <v>0</v>
      </c>
      <c r="AK418" t="b">
        <v>1</v>
      </c>
      <c r="AL418" s="6">
        <v>0</v>
      </c>
      <c r="AM418" s="3">
        <v>45891.458333333343</v>
      </c>
      <c r="AN418">
        <v>1</v>
      </c>
      <c r="AO418" s="3"/>
      <c r="AT418" t="b">
        <v>0</v>
      </c>
      <c r="AU418" t="s">
        <v>74</v>
      </c>
      <c r="AV418" t="b">
        <v>1</v>
      </c>
      <c r="AW418" t="b">
        <v>0</v>
      </c>
      <c r="AX418" s="5">
        <v>0</v>
      </c>
      <c r="AY418" s="3"/>
      <c r="AZ418" t="s">
        <v>67</v>
      </c>
      <c r="BA418" t="s">
        <v>67</v>
      </c>
      <c r="BB418" t="s">
        <v>317</v>
      </c>
    </row>
    <row r="419" spans="1:54" x14ac:dyDescent="0.3">
      <c r="A419">
        <v>1</v>
      </c>
      <c r="B419">
        <v>15</v>
      </c>
      <c r="C419" t="s">
        <v>54</v>
      </c>
      <c r="D419" s="3">
        <v>45890.51048611111</v>
      </c>
      <c r="E419" s="8">
        <v>45891</v>
      </c>
      <c r="F419" t="s">
        <v>1754</v>
      </c>
      <c r="G419" t="s">
        <v>56</v>
      </c>
      <c r="H419" t="s">
        <v>104</v>
      </c>
      <c r="I419" t="s">
        <v>105</v>
      </c>
      <c r="J419" t="s">
        <v>593</v>
      </c>
      <c r="L419" t="s">
        <v>595</v>
      </c>
      <c r="M419" t="s">
        <v>312</v>
      </c>
      <c r="N419" t="s">
        <v>312</v>
      </c>
      <c r="O419" t="s">
        <v>313</v>
      </c>
      <c r="P419" t="s">
        <v>314</v>
      </c>
      <c r="Q419" s="5">
        <v>1</v>
      </c>
      <c r="R419" s="6">
        <v>100</v>
      </c>
      <c r="S419" s="6">
        <v>100</v>
      </c>
      <c r="T419" s="6">
        <v>0</v>
      </c>
      <c r="U419" s="3">
        <v>46298.25</v>
      </c>
      <c r="W419" t="s">
        <v>1753</v>
      </c>
      <c r="X419" t="s">
        <v>70</v>
      </c>
      <c r="Y419" t="s">
        <v>23</v>
      </c>
      <c r="Z419" t="s">
        <v>69</v>
      </c>
      <c r="AA419" t="s">
        <v>69</v>
      </c>
      <c r="AB419" t="s">
        <v>67</v>
      </c>
      <c r="AC419" t="s">
        <v>70</v>
      </c>
      <c r="AD419" t="s">
        <v>316</v>
      </c>
      <c r="AE419" t="s">
        <v>102</v>
      </c>
      <c r="AF419" t="s">
        <v>67</v>
      </c>
      <c r="AH419" t="b">
        <v>1</v>
      </c>
      <c r="AI419" t="b">
        <v>1</v>
      </c>
      <c r="AJ419" t="b">
        <v>0</v>
      </c>
      <c r="AK419" t="b">
        <v>1</v>
      </c>
      <c r="AL419" s="6">
        <v>0</v>
      </c>
      <c r="AM419" s="3">
        <v>45891.458333333343</v>
      </c>
      <c r="AN419">
        <v>1</v>
      </c>
      <c r="AO419" s="3"/>
      <c r="AT419" t="b">
        <v>0</v>
      </c>
      <c r="AU419" t="s">
        <v>74</v>
      </c>
      <c r="AV419" t="b">
        <v>1</v>
      </c>
      <c r="AW419" t="b">
        <v>0</v>
      </c>
      <c r="AX419" s="5">
        <v>0</v>
      </c>
      <c r="AY419" s="3"/>
      <c r="AZ419" t="s">
        <v>67</v>
      </c>
      <c r="BA419" t="s">
        <v>67</v>
      </c>
      <c r="BB419" t="s">
        <v>317</v>
      </c>
    </row>
    <row r="420" spans="1:54" x14ac:dyDescent="0.3">
      <c r="A420">
        <v>1</v>
      </c>
      <c r="B420">
        <v>15</v>
      </c>
      <c r="C420" t="s">
        <v>54</v>
      </c>
      <c r="D420" s="3">
        <v>45891.447916666657</v>
      </c>
      <c r="E420" s="8">
        <v>45891</v>
      </c>
      <c r="F420" t="s">
        <v>1755</v>
      </c>
      <c r="G420" t="s">
        <v>56</v>
      </c>
      <c r="H420" t="s">
        <v>1756</v>
      </c>
      <c r="I420" t="s">
        <v>1757</v>
      </c>
      <c r="J420" t="s">
        <v>593</v>
      </c>
      <c r="K420" t="s">
        <v>1061</v>
      </c>
      <c r="L420" t="s">
        <v>595</v>
      </c>
      <c r="M420" t="s">
        <v>312</v>
      </c>
      <c r="N420" t="s">
        <v>312</v>
      </c>
      <c r="O420" t="s">
        <v>313</v>
      </c>
      <c r="P420" t="s">
        <v>314</v>
      </c>
      <c r="Q420" s="5">
        <v>1</v>
      </c>
      <c r="R420" s="6">
        <v>100</v>
      </c>
      <c r="S420" s="6">
        <v>100</v>
      </c>
      <c r="T420" s="6">
        <v>0</v>
      </c>
      <c r="U420" s="3">
        <v>46127.375</v>
      </c>
      <c r="W420" t="s">
        <v>1758</v>
      </c>
      <c r="X420" t="s">
        <v>70</v>
      </c>
      <c r="Y420" t="s">
        <v>23</v>
      </c>
      <c r="Z420" t="s">
        <v>69</v>
      </c>
      <c r="AA420" t="s">
        <v>69</v>
      </c>
      <c r="AB420" t="s">
        <v>67</v>
      </c>
      <c r="AC420" t="s">
        <v>70</v>
      </c>
      <c r="AD420" t="s">
        <v>316</v>
      </c>
      <c r="AE420" t="s">
        <v>102</v>
      </c>
      <c r="AF420" t="s">
        <v>67</v>
      </c>
      <c r="AH420" t="b">
        <v>0</v>
      </c>
      <c r="AI420" t="b">
        <v>1</v>
      </c>
      <c r="AJ420" t="b">
        <v>0</v>
      </c>
      <c r="AK420" t="b">
        <v>1</v>
      </c>
      <c r="AL420" s="6">
        <v>0</v>
      </c>
      <c r="AM420" s="3">
        <v>45891.458333333343</v>
      </c>
      <c r="AN420">
        <v>1</v>
      </c>
      <c r="AO420" s="3"/>
      <c r="AT420" t="b">
        <v>0</v>
      </c>
      <c r="AU420" t="s">
        <v>74</v>
      </c>
      <c r="AV420" t="b">
        <v>1</v>
      </c>
      <c r="AW420" t="b">
        <v>0</v>
      </c>
      <c r="AX420" s="5">
        <v>0</v>
      </c>
      <c r="AY420" s="3"/>
      <c r="AZ420" t="s">
        <v>67</v>
      </c>
      <c r="BA420" t="s">
        <v>67</v>
      </c>
      <c r="BB420" t="s">
        <v>317</v>
      </c>
    </row>
    <row r="421" spans="1:54" x14ac:dyDescent="0.3">
      <c r="A421">
        <v>1</v>
      </c>
      <c r="B421">
        <v>15</v>
      </c>
      <c r="C421" t="s">
        <v>54</v>
      </c>
      <c r="D421" s="3">
        <v>45891.463252314818</v>
      </c>
      <c r="E421" s="8">
        <v>45891</v>
      </c>
      <c r="F421" t="s">
        <v>1759</v>
      </c>
      <c r="G421" t="s">
        <v>56</v>
      </c>
      <c r="H421" t="s">
        <v>1760</v>
      </c>
      <c r="I421" t="s">
        <v>1761</v>
      </c>
      <c r="J421" t="s">
        <v>593</v>
      </c>
      <c r="K421" t="s">
        <v>790</v>
      </c>
      <c r="L421" t="s">
        <v>595</v>
      </c>
      <c r="M421" t="s">
        <v>312</v>
      </c>
      <c r="N421" t="s">
        <v>312</v>
      </c>
      <c r="O421" t="s">
        <v>313</v>
      </c>
      <c r="P421" t="s">
        <v>314</v>
      </c>
      <c r="Q421" s="5">
        <v>1</v>
      </c>
      <c r="R421" s="6">
        <v>100</v>
      </c>
      <c r="S421" s="6">
        <v>100</v>
      </c>
      <c r="T421" s="6">
        <v>0</v>
      </c>
      <c r="U421" s="3">
        <v>45891.340277777781</v>
      </c>
      <c r="W421" t="s">
        <v>1762</v>
      </c>
      <c r="X421" t="s">
        <v>70</v>
      </c>
      <c r="Y421" t="s">
        <v>23</v>
      </c>
      <c r="Z421" t="s">
        <v>69</v>
      </c>
      <c r="AA421" t="s">
        <v>69</v>
      </c>
      <c r="AB421" t="s">
        <v>67</v>
      </c>
      <c r="AC421" t="s">
        <v>70</v>
      </c>
      <c r="AD421" t="s">
        <v>316</v>
      </c>
      <c r="AE421" t="s">
        <v>102</v>
      </c>
      <c r="AF421" t="s">
        <v>67</v>
      </c>
      <c r="AH421" t="b">
        <v>1</v>
      </c>
      <c r="AI421" t="b">
        <v>1</v>
      </c>
      <c r="AJ421" t="b">
        <v>0</v>
      </c>
      <c r="AK421" t="b">
        <v>1</v>
      </c>
      <c r="AL421" s="6">
        <v>0</v>
      </c>
      <c r="AM421" s="3">
        <v>45891.340277777781</v>
      </c>
      <c r="AN421">
        <v>1</v>
      </c>
      <c r="AO421" s="3"/>
      <c r="AT421" t="b">
        <v>0</v>
      </c>
      <c r="AU421" t="s">
        <v>74</v>
      </c>
      <c r="AV421" t="b">
        <v>1</v>
      </c>
      <c r="AW421" t="b">
        <v>0</v>
      </c>
      <c r="AX421" s="5">
        <v>0</v>
      </c>
      <c r="AY421" s="3"/>
      <c r="AZ421" t="s">
        <v>67</v>
      </c>
      <c r="BA421" t="s">
        <v>67</v>
      </c>
      <c r="BB421" t="s">
        <v>317</v>
      </c>
    </row>
    <row r="422" spans="1:54" x14ac:dyDescent="0.3">
      <c r="A422">
        <v>1</v>
      </c>
      <c r="B422">
        <v>15</v>
      </c>
      <c r="C422" t="s">
        <v>54</v>
      </c>
      <c r="D422" s="3">
        <v>45897.41646990741</v>
      </c>
      <c r="E422" s="8">
        <v>45926</v>
      </c>
      <c r="F422" t="s">
        <v>1763</v>
      </c>
      <c r="G422" t="s">
        <v>56</v>
      </c>
      <c r="H422" t="s">
        <v>1764</v>
      </c>
      <c r="I422" t="s">
        <v>1765</v>
      </c>
      <c r="J422" t="s">
        <v>363</v>
      </c>
      <c r="L422" t="s">
        <v>1279</v>
      </c>
      <c r="M422" t="s">
        <v>366</v>
      </c>
      <c r="N422" t="s">
        <v>366</v>
      </c>
      <c r="O422" t="s">
        <v>1766</v>
      </c>
      <c r="P422" t="s">
        <v>1767</v>
      </c>
      <c r="Q422" s="5">
        <v>1</v>
      </c>
      <c r="R422" s="6">
        <v>141</v>
      </c>
      <c r="S422" s="6">
        <v>141</v>
      </c>
      <c r="T422" s="6">
        <v>88</v>
      </c>
      <c r="U422" s="3">
        <v>45926.256249999999</v>
      </c>
      <c r="W422" t="s">
        <v>1768</v>
      </c>
      <c r="X422" t="s">
        <v>70</v>
      </c>
      <c r="Y422" t="s">
        <v>23</v>
      </c>
      <c r="Z422" t="s">
        <v>69</v>
      </c>
      <c r="AA422" t="s">
        <v>69</v>
      </c>
      <c r="AB422" t="s">
        <v>67</v>
      </c>
      <c r="AC422" t="s">
        <v>70</v>
      </c>
      <c r="AD422" t="s">
        <v>370</v>
      </c>
      <c r="AE422" t="s">
        <v>102</v>
      </c>
      <c r="AF422" t="s">
        <v>67</v>
      </c>
      <c r="AH422" t="b">
        <v>0</v>
      </c>
      <c r="AI422" t="b">
        <v>0</v>
      </c>
      <c r="AJ422" t="b">
        <v>0</v>
      </c>
      <c r="AK422" t="b">
        <v>0</v>
      </c>
      <c r="AL422" s="6">
        <v>88</v>
      </c>
      <c r="AM422" s="3">
        <v>45897.479166666657</v>
      </c>
      <c r="AN422">
        <v>1</v>
      </c>
      <c r="AO422" s="3"/>
      <c r="AP422" t="s">
        <v>1769</v>
      </c>
      <c r="AQ422" t="s">
        <v>1770</v>
      </c>
      <c r="AR422" t="s">
        <v>1771</v>
      </c>
      <c r="AS422">
        <v>1</v>
      </c>
      <c r="AT422" t="b">
        <v>0</v>
      </c>
      <c r="AU422" t="s">
        <v>114</v>
      </c>
      <c r="AV422" t="b">
        <v>1</v>
      </c>
      <c r="AW422" t="b">
        <v>0</v>
      </c>
      <c r="AX422" s="5">
        <v>0</v>
      </c>
      <c r="AY422" s="3">
        <v>46058.390023148153</v>
      </c>
      <c r="AZ422" t="s">
        <v>67</v>
      </c>
      <c r="BA422" t="s">
        <v>67</v>
      </c>
      <c r="BB422" t="s">
        <v>997</v>
      </c>
    </row>
    <row r="423" spans="1:54" x14ac:dyDescent="0.3">
      <c r="A423">
        <v>1</v>
      </c>
      <c r="B423">
        <v>15</v>
      </c>
      <c r="C423" t="s">
        <v>54</v>
      </c>
      <c r="D423" s="3">
        <v>45897.41646990741</v>
      </c>
      <c r="E423" s="8">
        <v>45926</v>
      </c>
      <c r="F423" t="s">
        <v>1763</v>
      </c>
      <c r="G423" t="s">
        <v>56</v>
      </c>
      <c r="H423" t="s">
        <v>1764</v>
      </c>
      <c r="I423" t="s">
        <v>1765</v>
      </c>
      <c r="J423" t="s">
        <v>363</v>
      </c>
      <c r="L423" t="s">
        <v>1279</v>
      </c>
      <c r="M423" t="s">
        <v>366</v>
      </c>
      <c r="N423" t="s">
        <v>366</v>
      </c>
      <c r="O423" t="s">
        <v>1772</v>
      </c>
      <c r="P423" t="s">
        <v>1773</v>
      </c>
      <c r="Q423" s="5">
        <v>1</v>
      </c>
      <c r="R423" s="6">
        <v>277</v>
      </c>
      <c r="S423" s="6">
        <v>277</v>
      </c>
      <c r="T423" s="6">
        <v>173</v>
      </c>
      <c r="U423" s="3">
        <v>45926.256249999999</v>
      </c>
      <c r="W423" t="s">
        <v>1768</v>
      </c>
      <c r="X423" t="s">
        <v>70</v>
      </c>
      <c r="Y423" t="s">
        <v>23</v>
      </c>
      <c r="Z423" t="s">
        <v>69</v>
      </c>
      <c r="AA423" t="s">
        <v>69</v>
      </c>
      <c r="AB423" t="s">
        <v>67</v>
      </c>
      <c r="AC423" t="s">
        <v>70</v>
      </c>
      <c r="AD423" t="s">
        <v>370</v>
      </c>
      <c r="AE423" t="s">
        <v>102</v>
      </c>
      <c r="AF423" t="s">
        <v>67</v>
      </c>
      <c r="AH423" t="b">
        <v>0</v>
      </c>
      <c r="AI423" t="b">
        <v>0</v>
      </c>
      <c r="AJ423" t="b">
        <v>0</v>
      </c>
      <c r="AK423" t="b">
        <v>0</v>
      </c>
      <c r="AL423" s="6">
        <v>173</v>
      </c>
      <c r="AM423" s="3">
        <v>45897.479166666657</v>
      </c>
      <c r="AN423">
        <v>1</v>
      </c>
      <c r="AO423" s="3"/>
      <c r="AP423" t="s">
        <v>1769</v>
      </c>
      <c r="AQ423" t="s">
        <v>1770</v>
      </c>
      <c r="AR423" t="s">
        <v>1771</v>
      </c>
      <c r="AS423">
        <v>1</v>
      </c>
      <c r="AT423" t="b">
        <v>0</v>
      </c>
      <c r="AU423" t="s">
        <v>114</v>
      </c>
      <c r="AV423" t="b">
        <v>1</v>
      </c>
      <c r="AW423" t="b">
        <v>0</v>
      </c>
      <c r="AX423" s="5">
        <v>0</v>
      </c>
      <c r="AY423" s="3">
        <v>46058.390023148153</v>
      </c>
      <c r="AZ423" t="s">
        <v>67</v>
      </c>
      <c r="BA423" t="s">
        <v>67</v>
      </c>
      <c r="BB423" t="s">
        <v>997</v>
      </c>
    </row>
    <row r="424" spans="1:54" x14ac:dyDescent="0.3">
      <c r="A424">
        <v>1</v>
      </c>
      <c r="B424">
        <v>15</v>
      </c>
      <c r="C424" t="s">
        <v>54</v>
      </c>
      <c r="D424" s="3">
        <v>45897.41646990741</v>
      </c>
      <c r="E424" s="8">
        <v>45926</v>
      </c>
      <c r="F424" t="s">
        <v>1763</v>
      </c>
      <c r="G424" t="s">
        <v>56</v>
      </c>
      <c r="H424" t="s">
        <v>1764</v>
      </c>
      <c r="I424" t="s">
        <v>1765</v>
      </c>
      <c r="J424" t="s">
        <v>363</v>
      </c>
      <c r="L424" t="s">
        <v>1279</v>
      </c>
      <c r="M424" t="s">
        <v>366</v>
      </c>
      <c r="N424" t="s">
        <v>366</v>
      </c>
      <c r="O424" t="s">
        <v>1774</v>
      </c>
      <c r="P424" t="s">
        <v>1775</v>
      </c>
      <c r="Q424" s="5">
        <v>1</v>
      </c>
      <c r="R424" s="6">
        <v>250</v>
      </c>
      <c r="S424" s="6">
        <v>250</v>
      </c>
      <c r="T424" s="6">
        <v>156</v>
      </c>
      <c r="U424" s="3">
        <v>45926.256249999999</v>
      </c>
      <c r="W424" t="s">
        <v>1768</v>
      </c>
      <c r="X424" t="s">
        <v>70</v>
      </c>
      <c r="Y424" t="s">
        <v>23</v>
      </c>
      <c r="Z424" t="s">
        <v>69</v>
      </c>
      <c r="AA424" t="s">
        <v>69</v>
      </c>
      <c r="AB424" t="s">
        <v>67</v>
      </c>
      <c r="AC424" t="s">
        <v>70</v>
      </c>
      <c r="AD424" t="s">
        <v>370</v>
      </c>
      <c r="AF424" t="s">
        <v>67</v>
      </c>
      <c r="AH424" t="b">
        <v>0</v>
      </c>
      <c r="AI424" t="b">
        <v>0</v>
      </c>
      <c r="AJ424" t="b">
        <v>0</v>
      </c>
      <c r="AK424" t="b">
        <v>0</v>
      </c>
      <c r="AL424" s="6">
        <v>156</v>
      </c>
      <c r="AM424" s="3">
        <v>45897.479166666657</v>
      </c>
      <c r="AN424">
        <v>1</v>
      </c>
      <c r="AO424" s="3"/>
      <c r="AP424" t="s">
        <v>1769</v>
      </c>
      <c r="AQ424" t="s">
        <v>1770</v>
      </c>
      <c r="AR424" t="s">
        <v>1771</v>
      </c>
      <c r="AS424">
        <v>1</v>
      </c>
      <c r="AT424" t="b">
        <v>0</v>
      </c>
      <c r="AU424" t="s">
        <v>114</v>
      </c>
      <c r="AV424" t="b">
        <v>1</v>
      </c>
      <c r="AW424" t="b">
        <v>0</v>
      </c>
      <c r="AX424" s="5">
        <v>0</v>
      </c>
      <c r="AY424" s="3">
        <v>46058.390023148153</v>
      </c>
      <c r="AZ424" t="s">
        <v>67</v>
      </c>
      <c r="BA424" t="s">
        <v>67</v>
      </c>
      <c r="BB424" t="s">
        <v>997</v>
      </c>
    </row>
    <row r="425" spans="1:54" x14ac:dyDescent="0.3">
      <c r="A425">
        <v>1</v>
      </c>
      <c r="B425">
        <v>15</v>
      </c>
      <c r="C425" t="s">
        <v>54</v>
      </c>
      <c r="D425" s="3">
        <v>45897.41646990741</v>
      </c>
      <c r="E425" s="8">
        <v>45926</v>
      </c>
      <c r="F425" t="s">
        <v>1763</v>
      </c>
      <c r="G425" t="s">
        <v>56</v>
      </c>
      <c r="H425" t="s">
        <v>1764</v>
      </c>
      <c r="I425" t="s">
        <v>1765</v>
      </c>
      <c r="J425" t="s">
        <v>363</v>
      </c>
      <c r="L425" t="s">
        <v>1279</v>
      </c>
      <c r="M425" t="s">
        <v>366</v>
      </c>
      <c r="N425" t="s">
        <v>366</v>
      </c>
      <c r="O425" t="s">
        <v>1776</v>
      </c>
      <c r="P425" t="s">
        <v>1777</v>
      </c>
      <c r="Q425" s="5">
        <v>2</v>
      </c>
      <c r="R425" s="6">
        <v>140</v>
      </c>
      <c r="S425" s="6">
        <v>280</v>
      </c>
      <c r="T425" s="6">
        <v>174</v>
      </c>
      <c r="U425" s="3">
        <v>45926.256249999999</v>
      </c>
      <c r="W425" t="s">
        <v>1768</v>
      </c>
      <c r="X425" t="s">
        <v>70</v>
      </c>
      <c r="Y425" t="s">
        <v>23</v>
      </c>
      <c r="Z425" t="s">
        <v>69</v>
      </c>
      <c r="AA425" t="s">
        <v>69</v>
      </c>
      <c r="AB425" t="s">
        <v>67</v>
      </c>
      <c r="AC425" t="s">
        <v>70</v>
      </c>
      <c r="AD425" t="s">
        <v>370</v>
      </c>
      <c r="AE425" t="s">
        <v>102</v>
      </c>
      <c r="AF425" t="s">
        <v>67</v>
      </c>
      <c r="AH425" t="b">
        <v>0</v>
      </c>
      <c r="AI425" t="b">
        <v>0</v>
      </c>
      <c r="AJ425" t="b">
        <v>0</v>
      </c>
      <c r="AK425" t="b">
        <v>0</v>
      </c>
      <c r="AL425" s="6">
        <v>87</v>
      </c>
      <c r="AM425" s="3">
        <v>45897.479166666657</v>
      </c>
      <c r="AN425">
        <v>1</v>
      </c>
      <c r="AO425" s="3"/>
      <c r="AP425" t="s">
        <v>1769</v>
      </c>
      <c r="AQ425" t="s">
        <v>1770</v>
      </c>
      <c r="AR425" t="s">
        <v>1771</v>
      </c>
      <c r="AS425">
        <v>1</v>
      </c>
      <c r="AT425" t="b">
        <v>0</v>
      </c>
      <c r="AU425" t="s">
        <v>114</v>
      </c>
      <c r="AV425" t="b">
        <v>1</v>
      </c>
      <c r="AW425" t="b">
        <v>0</v>
      </c>
      <c r="AX425" s="5">
        <v>0</v>
      </c>
      <c r="AY425" s="3">
        <v>46058.390023148153</v>
      </c>
      <c r="AZ425" t="s">
        <v>67</v>
      </c>
      <c r="BA425" t="s">
        <v>67</v>
      </c>
      <c r="BB425" t="s">
        <v>997</v>
      </c>
    </row>
    <row r="426" spans="1:54" x14ac:dyDescent="0.3">
      <c r="A426">
        <v>1</v>
      </c>
      <c r="B426">
        <v>15</v>
      </c>
      <c r="C426" t="s">
        <v>54</v>
      </c>
      <c r="D426" s="3">
        <v>45908.521238425928</v>
      </c>
      <c r="E426" s="8">
        <v>45909</v>
      </c>
      <c r="F426" t="s">
        <v>1778</v>
      </c>
      <c r="G426" t="s">
        <v>56</v>
      </c>
      <c r="H426" t="s">
        <v>1779</v>
      </c>
      <c r="I426" t="s">
        <v>1780</v>
      </c>
      <c r="J426" t="s">
        <v>59</v>
      </c>
      <c r="K426" t="s">
        <v>1781</v>
      </c>
      <c r="L426" t="s">
        <v>699</v>
      </c>
      <c r="M426" t="s">
        <v>63</v>
      </c>
      <c r="N426" t="s">
        <v>63</v>
      </c>
      <c r="O426" t="s">
        <v>752</v>
      </c>
      <c r="P426" t="s">
        <v>753</v>
      </c>
      <c r="Q426" s="5">
        <v>2</v>
      </c>
      <c r="R426" s="6">
        <v>80</v>
      </c>
      <c r="S426" s="6">
        <v>160</v>
      </c>
      <c r="T426" s="6">
        <v>0</v>
      </c>
      <c r="U426" s="3">
        <v>46154.215277777781</v>
      </c>
      <c r="W426" t="s">
        <v>1782</v>
      </c>
      <c r="X426" t="s">
        <v>70</v>
      </c>
      <c r="Y426" t="s">
        <v>23</v>
      </c>
      <c r="Z426" t="s">
        <v>69</v>
      </c>
      <c r="AA426" t="s">
        <v>69</v>
      </c>
      <c r="AB426" t="s">
        <v>70</v>
      </c>
      <c r="AC426" t="s">
        <v>70</v>
      </c>
      <c r="AD426" t="s">
        <v>71</v>
      </c>
      <c r="AE426" t="s">
        <v>102</v>
      </c>
      <c r="AF426" t="s">
        <v>67</v>
      </c>
      <c r="AG426" t="s">
        <v>752</v>
      </c>
      <c r="AH426" t="b">
        <v>1</v>
      </c>
      <c r="AI426" t="b">
        <v>1</v>
      </c>
      <c r="AJ426" t="b">
        <v>1</v>
      </c>
      <c r="AK426" t="b">
        <v>1</v>
      </c>
      <c r="AL426" s="6">
        <v>0</v>
      </c>
      <c r="AM426" s="3">
        <v>46154.215277777781</v>
      </c>
      <c r="AN426">
        <v>1</v>
      </c>
      <c r="AO426" s="3"/>
      <c r="AT426" t="b">
        <v>0</v>
      </c>
      <c r="AU426" t="s">
        <v>74</v>
      </c>
      <c r="AV426" t="b">
        <v>1</v>
      </c>
      <c r="AW426" t="b">
        <v>0</v>
      </c>
      <c r="AX426" s="5">
        <v>0</v>
      </c>
      <c r="AY426" s="3"/>
      <c r="AZ426" t="s">
        <v>67</v>
      </c>
      <c r="BA426" t="s">
        <v>67</v>
      </c>
      <c r="BB426" t="s">
        <v>317</v>
      </c>
    </row>
    <row r="427" spans="1:54" x14ac:dyDescent="0.3">
      <c r="A427">
        <v>1</v>
      </c>
      <c r="B427">
        <v>15</v>
      </c>
      <c r="C427" t="s">
        <v>54</v>
      </c>
      <c r="D427" s="3">
        <v>45971.546701388892</v>
      </c>
      <c r="E427" s="8">
        <v>45972</v>
      </c>
      <c r="F427" t="s">
        <v>1783</v>
      </c>
      <c r="G427" t="s">
        <v>56</v>
      </c>
      <c r="H427" t="s">
        <v>1478</v>
      </c>
      <c r="I427" t="s">
        <v>1479</v>
      </c>
      <c r="J427" t="s">
        <v>749</v>
      </c>
      <c r="K427" t="s">
        <v>731</v>
      </c>
      <c r="L427" t="s">
        <v>751</v>
      </c>
      <c r="M427" t="s">
        <v>97</v>
      </c>
      <c r="N427" t="s">
        <v>97</v>
      </c>
      <c r="O427" t="s">
        <v>1072</v>
      </c>
      <c r="P427" t="s">
        <v>1073</v>
      </c>
      <c r="Q427" s="5">
        <v>2</v>
      </c>
      <c r="R427" s="6">
        <v>727</v>
      </c>
      <c r="S427" s="6">
        <v>1454</v>
      </c>
      <c r="T427" s="6">
        <v>908</v>
      </c>
      <c r="U427" s="3">
        <v>46297.25</v>
      </c>
      <c r="W427" t="s">
        <v>1480</v>
      </c>
      <c r="X427" t="s">
        <v>70</v>
      </c>
      <c r="Y427" t="s">
        <v>23</v>
      </c>
      <c r="Z427" t="s">
        <v>69</v>
      </c>
      <c r="AA427" t="s">
        <v>69</v>
      </c>
      <c r="AB427" t="s">
        <v>70</v>
      </c>
      <c r="AC427" t="s">
        <v>70</v>
      </c>
      <c r="AD427" t="s">
        <v>101</v>
      </c>
      <c r="AE427" t="s">
        <v>102</v>
      </c>
      <c r="AF427" t="s">
        <v>67</v>
      </c>
      <c r="AH427" t="b">
        <v>0</v>
      </c>
      <c r="AI427" t="b">
        <v>0</v>
      </c>
      <c r="AJ427" t="b">
        <v>0</v>
      </c>
      <c r="AK427" t="b">
        <v>0</v>
      </c>
      <c r="AL427" s="6">
        <v>454</v>
      </c>
      <c r="AM427" s="3">
        <v>46297.25</v>
      </c>
      <c r="AN427">
        <v>1</v>
      </c>
      <c r="AO427" s="3"/>
      <c r="AT427" t="b">
        <v>0</v>
      </c>
      <c r="AU427" t="s">
        <v>74</v>
      </c>
      <c r="AV427" t="b">
        <v>1</v>
      </c>
      <c r="AW427" t="b">
        <v>0</v>
      </c>
      <c r="AX427" s="5">
        <v>0</v>
      </c>
      <c r="AY427" s="3"/>
      <c r="AZ427" t="s">
        <v>67</v>
      </c>
      <c r="BA427" t="s">
        <v>67</v>
      </c>
      <c r="BB427" t="s">
        <v>317</v>
      </c>
    </row>
    <row r="428" spans="1:54" x14ac:dyDescent="0.3">
      <c r="A428">
        <v>1</v>
      </c>
      <c r="B428">
        <v>15</v>
      </c>
      <c r="C428" t="s">
        <v>54</v>
      </c>
      <c r="D428" s="3">
        <v>45972.501388888893</v>
      </c>
      <c r="E428" s="8">
        <v>45972</v>
      </c>
      <c r="F428" t="s">
        <v>1784</v>
      </c>
      <c r="G428" t="s">
        <v>56</v>
      </c>
      <c r="H428" t="s">
        <v>799</v>
      </c>
      <c r="I428" t="s">
        <v>800</v>
      </c>
      <c r="J428" t="s">
        <v>59</v>
      </c>
      <c r="K428" t="s">
        <v>801</v>
      </c>
      <c r="L428" t="s">
        <v>699</v>
      </c>
      <c r="M428" t="s">
        <v>62</v>
      </c>
      <c r="N428" t="s">
        <v>62</v>
      </c>
      <c r="O428" t="s">
        <v>218</v>
      </c>
      <c r="P428" t="s">
        <v>219</v>
      </c>
      <c r="Q428" s="5">
        <v>1</v>
      </c>
      <c r="R428" s="6">
        <v>38</v>
      </c>
      <c r="S428" s="6">
        <v>38</v>
      </c>
      <c r="T428" s="6">
        <v>13.8</v>
      </c>
      <c r="U428" s="3">
        <v>45972.34375</v>
      </c>
      <c r="W428" t="s">
        <v>802</v>
      </c>
      <c r="X428" t="s">
        <v>67</v>
      </c>
      <c r="Y428" t="s">
        <v>68</v>
      </c>
      <c r="Z428" t="s">
        <v>69</v>
      </c>
      <c r="AA428" t="s">
        <v>69</v>
      </c>
      <c r="AB428" t="s">
        <v>67</v>
      </c>
      <c r="AC428" t="s">
        <v>67</v>
      </c>
      <c r="AD428" t="s">
        <v>71</v>
      </c>
      <c r="AE428" t="s">
        <v>220</v>
      </c>
      <c r="AF428" t="s">
        <v>67</v>
      </c>
      <c r="AG428" t="s">
        <v>221</v>
      </c>
      <c r="AH428" t="b">
        <v>0</v>
      </c>
      <c r="AI428" t="b">
        <v>1</v>
      </c>
      <c r="AJ428" t="b">
        <v>1</v>
      </c>
      <c r="AK428" t="b">
        <v>1</v>
      </c>
      <c r="AL428" s="6">
        <v>13.8</v>
      </c>
      <c r="AM428" s="3">
        <v>45972.34375</v>
      </c>
      <c r="AN428">
        <v>1</v>
      </c>
      <c r="AO428" s="3"/>
      <c r="AT428" t="b">
        <v>0</v>
      </c>
      <c r="AU428" t="s">
        <v>74</v>
      </c>
      <c r="AV428" t="b">
        <v>1</v>
      </c>
      <c r="AW428" t="b">
        <v>0</v>
      </c>
      <c r="AX428" s="5">
        <v>0</v>
      </c>
      <c r="AY428" s="3"/>
      <c r="AZ428" t="s">
        <v>67</v>
      </c>
      <c r="BA428" t="s">
        <v>67</v>
      </c>
      <c r="BB428" t="s">
        <v>317</v>
      </c>
    </row>
    <row r="429" spans="1:54" x14ac:dyDescent="0.3">
      <c r="A429">
        <v>1</v>
      </c>
      <c r="B429">
        <v>15</v>
      </c>
      <c r="C429" t="s">
        <v>54</v>
      </c>
      <c r="D429" s="3">
        <v>45972.662743055553</v>
      </c>
      <c r="E429" s="8">
        <v>45973</v>
      </c>
      <c r="F429" t="s">
        <v>1785</v>
      </c>
      <c r="G429" t="s">
        <v>56</v>
      </c>
      <c r="H429" t="s">
        <v>1478</v>
      </c>
      <c r="I429" t="s">
        <v>1479</v>
      </c>
      <c r="J429" t="s">
        <v>59</v>
      </c>
      <c r="K429" t="s">
        <v>731</v>
      </c>
      <c r="L429" t="s">
        <v>61</v>
      </c>
      <c r="M429" t="s">
        <v>63</v>
      </c>
      <c r="N429" t="s">
        <v>63</v>
      </c>
      <c r="O429" t="s">
        <v>82</v>
      </c>
      <c r="P429" t="s">
        <v>83</v>
      </c>
      <c r="Q429" s="5">
        <v>1</v>
      </c>
      <c r="R429" s="6">
        <v>140</v>
      </c>
      <c r="S429" s="6">
        <v>140</v>
      </c>
      <c r="T429" s="6">
        <v>93.1</v>
      </c>
      <c r="U429" s="3">
        <v>46297.25</v>
      </c>
      <c r="W429" t="s">
        <v>1480</v>
      </c>
      <c r="X429" t="s">
        <v>70</v>
      </c>
      <c r="Y429" t="s">
        <v>68</v>
      </c>
      <c r="Z429" t="s">
        <v>69</v>
      </c>
      <c r="AA429" t="s">
        <v>69</v>
      </c>
      <c r="AB429" t="s">
        <v>70</v>
      </c>
      <c r="AC429" t="s">
        <v>70</v>
      </c>
      <c r="AD429" t="s">
        <v>71</v>
      </c>
      <c r="AE429" t="s">
        <v>84</v>
      </c>
      <c r="AF429" t="s">
        <v>67</v>
      </c>
      <c r="AG429" t="s">
        <v>82</v>
      </c>
      <c r="AH429" t="b">
        <v>0</v>
      </c>
      <c r="AI429" t="b">
        <v>0</v>
      </c>
      <c r="AJ429" t="b">
        <v>0</v>
      </c>
      <c r="AK429" t="b">
        <v>1</v>
      </c>
      <c r="AL429" s="6">
        <v>93.1</v>
      </c>
      <c r="AM429" s="3">
        <v>45972.458333333343</v>
      </c>
      <c r="AN429">
        <v>1</v>
      </c>
      <c r="AO429" s="3"/>
      <c r="AT429" t="b">
        <v>0</v>
      </c>
      <c r="AU429" t="s">
        <v>74</v>
      </c>
      <c r="AV429" t="b">
        <v>1</v>
      </c>
      <c r="AW429" t="b">
        <v>0</v>
      </c>
      <c r="AX429" s="5">
        <v>0</v>
      </c>
      <c r="AY429" s="3"/>
      <c r="AZ429" t="s">
        <v>67</v>
      </c>
      <c r="BA429" t="s">
        <v>67</v>
      </c>
      <c r="BB429" t="s">
        <v>317</v>
      </c>
    </row>
    <row r="430" spans="1:54" x14ac:dyDescent="0.3">
      <c r="A430">
        <v>1</v>
      </c>
      <c r="B430">
        <v>15</v>
      </c>
      <c r="C430" t="s">
        <v>54</v>
      </c>
      <c r="D430" s="3">
        <v>45972.662743055553</v>
      </c>
      <c r="E430" s="8">
        <v>45973</v>
      </c>
      <c r="F430" t="s">
        <v>1785</v>
      </c>
      <c r="G430" t="s">
        <v>56</v>
      </c>
      <c r="H430" t="s">
        <v>1478</v>
      </c>
      <c r="I430" t="s">
        <v>1479</v>
      </c>
      <c r="J430" t="s">
        <v>59</v>
      </c>
      <c r="K430" t="s">
        <v>731</v>
      </c>
      <c r="L430" t="s">
        <v>61</v>
      </c>
      <c r="M430" t="s">
        <v>63</v>
      </c>
      <c r="N430" t="s">
        <v>63</v>
      </c>
      <c r="O430" t="s">
        <v>121</v>
      </c>
      <c r="P430" t="s">
        <v>122</v>
      </c>
      <c r="Q430" s="5">
        <v>2</v>
      </c>
      <c r="R430" s="6">
        <v>53</v>
      </c>
      <c r="S430" s="6">
        <v>106</v>
      </c>
      <c r="T430" s="6">
        <v>66</v>
      </c>
      <c r="U430" s="3">
        <v>46297.25</v>
      </c>
      <c r="W430" t="s">
        <v>1480</v>
      </c>
      <c r="X430" t="s">
        <v>70</v>
      </c>
      <c r="Y430" t="s">
        <v>23</v>
      </c>
      <c r="Z430" t="s">
        <v>69</v>
      </c>
      <c r="AA430" t="s">
        <v>69</v>
      </c>
      <c r="AB430" t="s">
        <v>70</v>
      </c>
      <c r="AC430" t="s">
        <v>70</v>
      </c>
      <c r="AD430" t="s">
        <v>71</v>
      </c>
      <c r="AF430" t="s">
        <v>67</v>
      </c>
      <c r="AH430" t="b">
        <v>0</v>
      </c>
      <c r="AI430" t="b">
        <v>0</v>
      </c>
      <c r="AJ430" t="b">
        <v>0</v>
      </c>
      <c r="AK430" t="b">
        <v>1</v>
      </c>
      <c r="AL430" s="6">
        <v>33</v>
      </c>
      <c r="AM430" s="3">
        <v>45972.458333333343</v>
      </c>
      <c r="AN430">
        <v>1</v>
      </c>
      <c r="AO430" s="3"/>
      <c r="AT430" t="b">
        <v>0</v>
      </c>
      <c r="AU430" t="s">
        <v>74</v>
      </c>
      <c r="AV430" t="b">
        <v>1</v>
      </c>
      <c r="AW430" t="b">
        <v>0</v>
      </c>
      <c r="AX430" s="5">
        <v>0</v>
      </c>
      <c r="AY430" s="3"/>
      <c r="AZ430" t="s">
        <v>67</v>
      </c>
      <c r="BA430" t="s">
        <v>67</v>
      </c>
      <c r="BB430" t="s">
        <v>317</v>
      </c>
    </row>
    <row r="431" spans="1:54" x14ac:dyDescent="0.3">
      <c r="A431">
        <v>1</v>
      </c>
      <c r="B431">
        <v>15</v>
      </c>
      <c r="C431" t="s">
        <v>54</v>
      </c>
      <c r="D431" s="3">
        <v>45972.662743055553</v>
      </c>
      <c r="E431" s="8">
        <v>45973</v>
      </c>
      <c r="F431" t="s">
        <v>1785</v>
      </c>
      <c r="G431" t="s">
        <v>56</v>
      </c>
      <c r="H431" t="s">
        <v>1478</v>
      </c>
      <c r="I431" t="s">
        <v>1479</v>
      </c>
      <c r="J431" t="s">
        <v>59</v>
      </c>
      <c r="K431" t="s">
        <v>731</v>
      </c>
      <c r="L431" t="s">
        <v>61</v>
      </c>
      <c r="M431" t="s">
        <v>63</v>
      </c>
      <c r="N431" t="s">
        <v>63</v>
      </c>
      <c r="O431" t="s">
        <v>752</v>
      </c>
      <c r="P431" t="s">
        <v>753</v>
      </c>
      <c r="Q431" s="5">
        <v>1</v>
      </c>
      <c r="R431" s="6">
        <v>80</v>
      </c>
      <c r="S431" s="6">
        <v>80</v>
      </c>
      <c r="T431" s="6">
        <v>0</v>
      </c>
      <c r="U431" s="3">
        <v>46297.25</v>
      </c>
      <c r="W431" t="s">
        <v>1480</v>
      </c>
      <c r="X431" t="s">
        <v>70</v>
      </c>
      <c r="Y431" t="s">
        <v>23</v>
      </c>
      <c r="Z431" t="s">
        <v>69</v>
      </c>
      <c r="AA431" t="s">
        <v>69</v>
      </c>
      <c r="AB431" t="s">
        <v>70</v>
      </c>
      <c r="AC431" t="s">
        <v>70</v>
      </c>
      <c r="AD431" t="s">
        <v>71</v>
      </c>
      <c r="AE431" t="s">
        <v>102</v>
      </c>
      <c r="AF431" t="s">
        <v>67</v>
      </c>
      <c r="AG431" t="s">
        <v>752</v>
      </c>
      <c r="AH431" t="b">
        <v>0</v>
      </c>
      <c r="AI431" t="b">
        <v>0</v>
      </c>
      <c r="AJ431" t="b">
        <v>0</v>
      </c>
      <c r="AK431" t="b">
        <v>1</v>
      </c>
      <c r="AL431" s="6">
        <v>0</v>
      </c>
      <c r="AM431" s="3">
        <v>45972.458333333343</v>
      </c>
      <c r="AN431">
        <v>1</v>
      </c>
      <c r="AO431" s="3"/>
      <c r="AT431" t="b">
        <v>0</v>
      </c>
      <c r="AU431" t="s">
        <v>74</v>
      </c>
      <c r="AV431" t="b">
        <v>1</v>
      </c>
      <c r="AW431" t="b">
        <v>0</v>
      </c>
      <c r="AX431" s="5">
        <v>0</v>
      </c>
      <c r="AY431" s="3"/>
      <c r="AZ431" t="s">
        <v>67</v>
      </c>
      <c r="BA431" t="s">
        <v>67</v>
      </c>
      <c r="BB431" t="s">
        <v>317</v>
      </c>
    </row>
    <row r="432" spans="1:54" x14ac:dyDescent="0.3">
      <c r="A432">
        <v>1</v>
      </c>
      <c r="B432">
        <v>15</v>
      </c>
      <c r="C432" t="s">
        <v>54</v>
      </c>
      <c r="D432" s="3">
        <v>45972.662743055553</v>
      </c>
      <c r="E432" s="8">
        <v>45973</v>
      </c>
      <c r="F432" t="s">
        <v>1785</v>
      </c>
      <c r="G432" t="s">
        <v>56</v>
      </c>
      <c r="H432" t="s">
        <v>1478</v>
      </c>
      <c r="I432" t="s">
        <v>1479</v>
      </c>
      <c r="J432" t="s">
        <v>59</v>
      </c>
      <c r="K432" t="s">
        <v>731</v>
      </c>
      <c r="L432" t="s">
        <v>61</v>
      </c>
      <c r="M432" t="s">
        <v>63</v>
      </c>
      <c r="N432" t="s">
        <v>63</v>
      </c>
      <c r="O432" t="s">
        <v>64</v>
      </c>
      <c r="P432" t="s">
        <v>65</v>
      </c>
      <c r="Q432" s="5">
        <v>2</v>
      </c>
      <c r="R432" s="6">
        <v>221</v>
      </c>
      <c r="S432" s="6">
        <v>442</v>
      </c>
      <c r="T432" s="6">
        <v>294</v>
      </c>
      <c r="U432" s="3">
        <v>46297.25</v>
      </c>
      <c r="W432" t="s">
        <v>1480</v>
      </c>
      <c r="X432" t="s">
        <v>70</v>
      </c>
      <c r="Y432" t="s">
        <v>68</v>
      </c>
      <c r="Z432" t="s">
        <v>69</v>
      </c>
      <c r="AA432" t="s">
        <v>69</v>
      </c>
      <c r="AB432" t="s">
        <v>70</v>
      </c>
      <c r="AC432" t="s">
        <v>70</v>
      </c>
      <c r="AD432" t="s">
        <v>71</v>
      </c>
      <c r="AE432" t="s">
        <v>72</v>
      </c>
      <c r="AF432" t="s">
        <v>67</v>
      </c>
      <c r="AG432" t="s">
        <v>73</v>
      </c>
      <c r="AH432" t="b">
        <v>0</v>
      </c>
      <c r="AI432" t="b">
        <v>0</v>
      </c>
      <c r="AJ432" t="b">
        <v>0</v>
      </c>
      <c r="AK432" t="b">
        <v>1</v>
      </c>
      <c r="AL432" s="6">
        <v>147</v>
      </c>
      <c r="AM432" s="3">
        <v>45972.458333333343</v>
      </c>
      <c r="AN432">
        <v>1</v>
      </c>
      <c r="AO432" s="3"/>
      <c r="AT432" t="b">
        <v>0</v>
      </c>
      <c r="AU432" t="s">
        <v>74</v>
      </c>
      <c r="AV432" t="b">
        <v>1</v>
      </c>
      <c r="AW432" t="b">
        <v>0</v>
      </c>
      <c r="AX432" s="5">
        <v>0</v>
      </c>
      <c r="AY432" s="3"/>
      <c r="AZ432" t="s">
        <v>67</v>
      </c>
      <c r="BA432" t="s">
        <v>67</v>
      </c>
      <c r="BB432" t="s">
        <v>317</v>
      </c>
    </row>
    <row r="433" spans="1:54" x14ac:dyDescent="0.3">
      <c r="A433">
        <v>1</v>
      </c>
      <c r="B433">
        <v>15</v>
      </c>
      <c r="C433" t="s">
        <v>54</v>
      </c>
      <c r="D433" s="3">
        <v>45972.662743055553</v>
      </c>
      <c r="E433" s="8">
        <v>45973</v>
      </c>
      <c r="F433" t="s">
        <v>1785</v>
      </c>
      <c r="G433" t="s">
        <v>56</v>
      </c>
      <c r="H433" t="s">
        <v>1478</v>
      </c>
      <c r="I433" t="s">
        <v>1479</v>
      </c>
      <c r="J433" t="s">
        <v>59</v>
      </c>
      <c r="K433" t="s">
        <v>731</v>
      </c>
      <c r="L433" t="s">
        <v>61</v>
      </c>
      <c r="M433" t="s">
        <v>63</v>
      </c>
      <c r="N433" t="s">
        <v>63</v>
      </c>
      <c r="O433" t="s">
        <v>1786</v>
      </c>
      <c r="P433" t="s">
        <v>1787</v>
      </c>
      <c r="Q433" s="5">
        <v>1</v>
      </c>
      <c r="R433" s="6">
        <v>786</v>
      </c>
      <c r="S433" s="6">
        <v>786</v>
      </c>
      <c r="T433" s="6">
        <v>523.9</v>
      </c>
      <c r="U433" s="3">
        <v>46297.25</v>
      </c>
      <c r="W433" t="s">
        <v>1480</v>
      </c>
      <c r="X433" t="s">
        <v>70</v>
      </c>
      <c r="Y433" t="s">
        <v>68</v>
      </c>
      <c r="Z433" t="s">
        <v>69</v>
      </c>
      <c r="AA433" t="s">
        <v>69</v>
      </c>
      <c r="AB433" t="s">
        <v>70</v>
      </c>
      <c r="AC433" t="s">
        <v>70</v>
      </c>
      <c r="AD433" t="s">
        <v>71</v>
      </c>
      <c r="AE433" t="s">
        <v>1007</v>
      </c>
      <c r="AF433" t="s">
        <v>67</v>
      </c>
      <c r="AG433" t="s">
        <v>1788</v>
      </c>
      <c r="AH433" t="b">
        <v>0</v>
      </c>
      <c r="AI433" t="b">
        <v>0</v>
      </c>
      <c r="AJ433" t="b">
        <v>0</v>
      </c>
      <c r="AK433" t="b">
        <v>1</v>
      </c>
      <c r="AL433" s="6">
        <v>523.9</v>
      </c>
      <c r="AM433" s="3">
        <v>45972.458333333343</v>
      </c>
      <c r="AN433">
        <v>1</v>
      </c>
      <c r="AO433" s="3"/>
      <c r="AT433" t="b">
        <v>0</v>
      </c>
      <c r="AU433" t="s">
        <v>74</v>
      </c>
      <c r="AV433" t="b">
        <v>1</v>
      </c>
      <c r="AW433" t="b">
        <v>0</v>
      </c>
      <c r="AX433" s="5">
        <v>0</v>
      </c>
      <c r="AY433" s="3"/>
      <c r="AZ433" t="s">
        <v>67</v>
      </c>
      <c r="BA433" t="s">
        <v>67</v>
      </c>
      <c r="BB433" t="s">
        <v>317</v>
      </c>
    </row>
    <row r="434" spans="1:54" x14ac:dyDescent="0.3">
      <c r="A434">
        <v>1</v>
      </c>
      <c r="B434">
        <v>15</v>
      </c>
      <c r="C434" t="s">
        <v>54</v>
      </c>
      <c r="D434" s="3">
        <v>45972.662743055553</v>
      </c>
      <c r="E434" s="8">
        <v>45973</v>
      </c>
      <c r="F434" t="s">
        <v>1785</v>
      </c>
      <c r="G434" t="s">
        <v>56</v>
      </c>
      <c r="H434" t="s">
        <v>1478</v>
      </c>
      <c r="I434" t="s">
        <v>1479</v>
      </c>
      <c r="J434" t="s">
        <v>59</v>
      </c>
      <c r="K434" t="s">
        <v>731</v>
      </c>
      <c r="L434" t="s">
        <v>61</v>
      </c>
      <c r="M434" t="s">
        <v>63</v>
      </c>
      <c r="N434" t="s">
        <v>63</v>
      </c>
      <c r="O434" t="s">
        <v>271</v>
      </c>
      <c r="P434" t="s">
        <v>272</v>
      </c>
      <c r="Q434" s="5">
        <v>2</v>
      </c>
      <c r="R434" s="6">
        <v>75</v>
      </c>
      <c r="S434" s="6">
        <v>150</v>
      </c>
      <c r="T434" s="6">
        <v>54.4</v>
      </c>
      <c r="U434" s="3">
        <v>46297.25</v>
      </c>
      <c r="W434" t="s">
        <v>1480</v>
      </c>
      <c r="X434" t="s">
        <v>70</v>
      </c>
      <c r="Y434" t="s">
        <v>68</v>
      </c>
      <c r="Z434" t="s">
        <v>69</v>
      </c>
      <c r="AA434" t="s">
        <v>69</v>
      </c>
      <c r="AB434" t="s">
        <v>70</v>
      </c>
      <c r="AC434" t="s">
        <v>70</v>
      </c>
      <c r="AD434" t="s">
        <v>71</v>
      </c>
      <c r="AE434" t="s">
        <v>185</v>
      </c>
      <c r="AF434" t="s">
        <v>67</v>
      </c>
      <c r="AG434" t="s">
        <v>273</v>
      </c>
      <c r="AH434" t="b">
        <v>0</v>
      </c>
      <c r="AI434" t="b">
        <v>0</v>
      </c>
      <c r="AJ434" t="b">
        <v>0</v>
      </c>
      <c r="AK434" t="b">
        <v>1</v>
      </c>
      <c r="AL434" s="6">
        <v>27.2</v>
      </c>
      <c r="AM434" s="3">
        <v>45972.458333333343</v>
      </c>
      <c r="AN434">
        <v>1</v>
      </c>
      <c r="AO434" s="3"/>
      <c r="AT434" t="b">
        <v>0</v>
      </c>
      <c r="AU434" t="s">
        <v>74</v>
      </c>
      <c r="AV434" t="b">
        <v>1</v>
      </c>
      <c r="AW434" t="b">
        <v>0</v>
      </c>
      <c r="AX434" s="5">
        <v>0</v>
      </c>
      <c r="AY434" s="3"/>
      <c r="AZ434" t="s">
        <v>67</v>
      </c>
      <c r="BA434" t="s">
        <v>67</v>
      </c>
      <c r="BB434" t="s">
        <v>317</v>
      </c>
    </row>
    <row r="435" spans="1:54" x14ac:dyDescent="0.3">
      <c r="A435">
        <v>1</v>
      </c>
      <c r="B435">
        <v>15</v>
      </c>
      <c r="C435" t="s">
        <v>54</v>
      </c>
      <c r="D435" s="3">
        <v>45972.662743055553</v>
      </c>
      <c r="E435" s="8">
        <v>45973</v>
      </c>
      <c r="F435" t="s">
        <v>1785</v>
      </c>
      <c r="G435" t="s">
        <v>56</v>
      </c>
      <c r="H435" t="s">
        <v>1478</v>
      </c>
      <c r="I435" t="s">
        <v>1479</v>
      </c>
      <c r="J435" t="s">
        <v>59</v>
      </c>
      <c r="K435" t="s">
        <v>731</v>
      </c>
      <c r="L435" t="s">
        <v>61</v>
      </c>
      <c r="M435" t="s">
        <v>63</v>
      </c>
      <c r="N435" t="s">
        <v>63</v>
      </c>
      <c r="O435" t="s">
        <v>1789</v>
      </c>
      <c r="P435" t="s">
        <v>1790</v>
      </c>
      <c r="Q435" s="5">
        <v>1</v>
      </c>
      <c r="R435" s="6">
        <v>630</v>
      </c>
      <c r="S435" s="6">
        <v>630</v>
      </c>
      <c r="T435" s="6">
        <v>207.6</v>
      </c>
      <c r="U435" s="3">
        <v>46297.25</v>
      </c>
      <c r="W435" t="s">
        <v>1480</v>
      </c>
      <c r="X435" t="s">
        <v>70</v>
      </c>
      <c r="Y435" t="s">
        <v>68</v>
      </c>
      <c r="Z435" t="s">
        <v>69</v>
      </c>
      <c r="AA435" t="s">
        <v>69</v>
      </c>
      <c r="AB435" t="s">
        <v>70</v>
      </c>
      <c r="AC435" t="s">
        <v>70</v>
      </c>
      <c r="AD435" t="s">
        <v>71</v>
      </c>
      <c r="AE435" t="s">
        <v>185</v>
      </c>
      <c r="AF435" t="s">
        <v>67</v>
      </c>
      <c r="AG435" t="s">
        <v>1791</v>
      </c>
      <c r="AH435" t="b">
        <v>0</v>
      </c>
      <c r="AI435" t="b">
        <v>0</v>
      </c>
      <c r="AJ435" t="b">
        <v>0</v>
      </c>
      <c r="AK435" t="b">
        <v>1</v>
      </c>
      <c r="AL435" s="6">
        <v>207.6</v>
      </c>
      <c r="AM435" s="3">
        <v>45972.458333333343</v>
      </c>
      <c r="AN435">
        <v>1</v>
      </c>
      <c r="AO435" s="3"/>
      <c r="AT435" t="b">
        <v>0</v>
      </c>
      <c r="AU435" t="s">
        <v>74</v>
      </c>
      <c r="AV435" t="b">
        <v>1</v>
      </c>
      <c r="AW435" t="b">
        <v>0</v>
      </c>
      <c r="AX435" s="5">
        <v>0</v>
      </c>
      <c r="AY435" s="3"/>
      <c r="AZ435" t="s">
        <v>67</v>
      </c>
      <c r="BA435" t="s">
        <v>67</v>
      </c>
      <c r="BB435" t="s">
        <v>317</v>
      </c>
    </row>
    <row r="436" spans="1:54" x14ac:dyDescent="0.3">
      <c r="A436">
        <v>1</v>
      </c>
      <c r="B436">
        <v>15</v>
      </c>
      <c r="C436" t="s">
        <v>54</v>
      </c>
      <c r="D436" s="3">
        <v>45972.662743055553</v>
      </c>
      <c r="E436" s="8">
        <v>45973</v>
      </c>
      <c r="F436" t="s">
        <v>1785</v>
      </c>
      <c r="G436" t="s">
        <v>56</v>
      </c>
      <c r="H436" t="s">
        <v>1478</v>
      </c>
      <c r="I436" t="s">
        <v>1479</v>
      </c>
      <c r="J436" t="s">
        <v>59</v>
      </c>
      <c r="K436" t="s">
        <v>731</v>
      </c>
      <c r="L436" t="s">
        <v>61</v>
      </c>
      <c r="M436" t="s">
        <v>63</v>
      </c>
      <c r="N436" t="s">
        <v>63</v>
      </c>
      <c r="O436" t="s">
        <v>1792</v>
      </c>
      <c r="P436" t="s">
        <v>1793</v>
      </c>
      <c r="Q436" s="5">
        <v>1</v>
      </c>
      <c r="R436" s="6">
        <v>630</v>
      </c>
      <c r="S436" s="6">
        <v>630</v>
      </c>
      <c r="T436" s="6">
        <v>207.6</v>
      </c>
      <c r="U436" s="3">
        <v>46297.25</v>
      </c>
      <c r="W436" t="s">
        <v>1480</v>
      </c>
      <c r="X436" t="s">
        <v>70</v>
      </c>
      <c r="Y436" t="s">
        <v>68</v>
      </c>
      <c r="Z436" t="s">
        <v>69</v>
      </c>
      <c r="AA436" t="s">
        <v>69</v>
      </c>
      <c r="AB436" t="s">
        <v>70</v>
      </c>
      <c r="AC436" t="s">
        <v>70</v>
      </c>
      <c r="AD436" t="s">
        <v>71</v>
      </c>
      <c r="AE436" t="s">
        <v>185</v>
      </c>
      <c r="AF436" t="s">
        <v>67</v>
      </c>
      <c r="AG436" t="s">
        <v>1794</v>
      </c>
      <c r="AH436" t="b">
        <v>0</v>
      </c>
      <c r="AI436" t="b">
        <v>0</v>
      </c>
      <c r="AJ436" t="b">
        <v>0</v>
      </c>
      <c r="AK436" t="b">
        <v>1</v>
      </c>
      <c r="AL436" s="6">
        <v>207.6</v>
      </c>
      <c r="AM436" s="3">
        <v>45972.458333333343</v>
      </c>
      <c r="AN436">
        <v>1</v>
      </c>
      <c r="AO436" s="3"/>
      <c r="AT436" t="b">
        <v>0</v>
      </c>
      <c r="AU436" t="s">
        <v>74</v>
      </c>
      <c r="AV436" t="b">
        <v>1</v>
      </c>
      <c r="AW436" t="b">
        <v>0</v>
      </c>
      <c r="AX436" s="5">
        <v>0</v>
      </c>
      <c r="AY436" s="3"/>
      <c r="AZ436" t="s">
        <v>67</v>
      </c>
      <c r="BA436" t="s">
        <v>67</v>
      </c>
      <c r="BB436" t="s">
        <v>317</v>
      </c>
    </row>
    <row r="437" spans="1:54" x14ac:dyDescent="0.3">
      <c r="A437">
        <v>1</v>
      </c>
      <c r="B437">
        <v>15</v>
      </c>
      <c r="C437" t="s">
        <v>54</v>
      </c>
      <c r="D437" s="3">
        <v>46008.374374999999</v>
      </c>
      <c r="E437" s="8">
        <v>46008</v>
      </c>
      <c r="F437" t="s">
        <v>1795</v>
      </c>
      <c r="G437" t="s">
        <v>56</v>
      </c>
      <c r="H437" t="s">
        <v>946</v>
      </c>
      <c r="I437" t="s">
        <v>947</v>
      </c>
      <c r="J437" t="s">
        <v>363</v>
      </c>
      <c r="K437" t="s">
        <v>610</v>
      </c>
      <c r="L437" t="s">
        <v>741</v>
      </c>
      <c r="M437" t="s">
        <v>366</v>
      </c>
      <c r="O437" t="s">
        <v>531</v>
      </c>
      <c r="P437" t="s">
        <v>532</v>
      </c>
      <c r="Q437" s="5">
        <v>1</v>
      </c>
      <c r="R437" s="6">
        <v>25</v>
      </c>
      <c r="S437" s="6">
        <v>25</v>
      </c>
      <c r="T437" s="6">
        <v>9.8800000000000008</v>
      </c>
      <c r="U437" s="3">
        <v>46316.270833333343</v>
      </c>
      <c r="W437" t="s">
        <v>948</v>
      </c>
      <c r="X437" t="s">
        <v>67</v>
      </c>
      <c r="Y437" t="s">
        <v>68</v>
      </c>
      <c r="Z437" t="s">
        <v>521</v>
      </c>
      <c r="AA437" t="s">
        <v>522</v>
      </c>
      <c r="AB437" t="s">
        <v>67</v>
      </c>
      <c r="AC437" t="s">
        <v>70</v>
      </c>
      <c r="AD437" t="s">
        <v>745</v>
      </c>
      <c r="AE437" t="s">
        <v>371</v>
      </c>
      <c r="AF437" t="s">
        <v>67</v>
      </c>
      <c r="AG437" t="s">
        <v>531</v>
      </c>
      <c r="AH437" t="b">
        <v>0</v>
      </c>
      <c r="AI437" t="b">
        <v>0</v>
      </c>
      <c r="AJ437" t="b">
        <v>0</v>
      </c>
      <c r="AK437" t="b">
        <v>0</v>
      </c>
      <c r="AL437" s="6">
        <v>9.8800000000000008</v>
      </c>
      <c r="AM437" s="3">
        <v>46316.270833333343</v>
      </c>
      <c r="AN437">
        <v>1</v>
      </c>
      <c r="AO437" s="3"/>
      <c r="AT437" t="b">
        <v>0</v>
      </c>
      <c r="AU437" t="s">
        <v>74</v>
      </c>
      <c r="AV437" t="b">
        <v>1</v>
      </c>
      <c r="AW437" t="b">
        <v>0</v>
      </c>
      <c r="AX437" s="5">
        <v>0</v>
      </c>
      <c r="AY437" s="3"/>
      <c r="AZ437" t="s">
        <v>67</v>
      </c>
      <c r="BA437" t="s">
        <v>67</v>
      </c>
      <c r="BB437" t="s">
        <v>317</v>
      </c>
    </row>
    <row r="438" spans="1:54" x14ac:dyDescent="0.3">
      <c r="A438">
        <v>1</v>
      </c>
      <c r="B438">
        <v>15</v>
      </c>
      <c r="C438" t="s">
        <v>54</v>
      </c>
      <c r="D438" s="3">
        <v>46029.426168981481</v>
      </c>
      <c r="E438" s="8">
        <v>46066</v>
      </c>
      <c r="F438" t="s">
        <v>1796</v>
      </c>
      <c r="G438" t="s">
        <v>56</v>
      </c>
      <c r="H438" t="s">
        <v>237</v>
      </c>
      <c r="I438" t="s">
        <v>238</v>
      </c>
      <c r="J438" t="s">
        <v>59</v>
      </c>
      <c r="L438" t="s">
        <v>699</v>
      </c>
      <c r="M438" t="s">
        <v>63</v>
      </c>
      <c r="N438" t="s">
        <v>63</v>
      </c>
      <c r="O438" t="s">
        <v>82</v>
      </c>
      <c r="P438" t="s">
        <v>83</v>
      </c>
      <c r="Q438" s="5">
        <v>1</v>
      </c>
      <c r="R438" s="6">
        <v>140</v>
      </c>
      <c r="S438" s="6">
        <v>140</v>
      </c>
      <c r="T438" s="6">
        <v>93.1</v>
      </c>
      <c r="U438" s="3">
        <v>46300.208333333343</v>
      </c>
      <c r="W438" t="s">
        <v>1797</v>
      </c>
      <c r="X438" t="s">
        <v>70</v>
      </c>
      <c r="Y438" t="s">
        <v>68</v>
      </c>
      <c r="Z438" t="s">
        <v>1798</v>
      </c>
      <c r="AA438" t="s">
        <v>522</v>
      </c>
      <c r="AB438" t="s">
        <v>67</v>
      </c>
      <c r="AC438" t="s">
        <v>70</v>
      </c>
      <c r="AD438" t="s">
        <v>71</v>
      </c>
      <c r="AE438" t="s">
        <v>84</v>
      </c>
      <c r="AF438" t="s">
        <v>67</v>
      </c>
      <c r="AG438" t="s">
        <v>82</v>
      </c>
      <c r="AH438" t="b">
        <v>0</v>
      </c>
      <c r="AI438" t="b">
        <v>0</v>
      </c>
      <c r="AJ438" t="b">
        <v>0</v>
      </c>
      <c r="AK438" t="b">
        <v>1</v>
      </c>
      <c r="AL438" s="6">
        <v>93.1</v>
      </c>
      <c r="AM438" s="3">
        <v>46300.208333333343</v>
      </c>
      <c r="AN438">
        <v>0</v>
      </c>
      <c r="AO438" s="3"/>
      <c r="AT438" t="b">
        <v>0</v>
      </c>
      <c r="AU438" t="s">
        <v>74</v>
      </c>
      <c r="AV438" t="b">
        <v>1</v>
      </c>
      <c r="AW438" t="b">
        <v>0</v>
      </c>
      <c r="AX438" s="5">
        <v>0</v>
      </c>
      <c r="AY438" s="3"/>
      <c r="AZ438" t="s">
        <v>67</v>
      </c>
      <c r="BA438" t="s">
        <v>67</v>
      </c>
      <c r="BB438" t="s">
        <v>317</v>
      </c>
    </row>
    <row r="439" spans="1:54" x14ac:dyDescent="0.3">
      <c r="A439">
        <v>1</v>
      </c>
      <c r="B439">
        <v>15</v>
      </c>
      <c r="C439" t="s">
        <v>54</v>
      </c>
      <c r="D439" s="3">
        <v>46029.426168981481</v>
      </c>
      <c r="E439" s="8">
        <v>46066</v>
      </c>
      <c r="F439" t="s">
        <v>1796</v>
      </c>
      <c r="G439" t="s">
        <v>56</v>
      </c>
      <c r="H439" t="s">
        <v>237</v>
      </c>
      <c r="I439" t="s">
        <v>238</v>
      </c>
      <c r="J439" t="s">
        <v>59</v>
      </c>
      <c r="L439" t="s">
        <v>699</v>
      </c>
      <c r="M439" t="s">
        <v>63</v>
      </c>
      <c r="N439" t="s">
        <v>63</v>
      </c>
      <c r="O439" t="s">
        <v>82</v>
      </c>
      <c r="P439" t="s">
        <v>83</v>
      </c>
      <c r="Q439" s="5">
        <v>1</v>
      </c>
      <c r="R439" s="6">
        <v>140</v>
      </c>
      <c r="S439" s="6">
        <v>140</v>
      </c>
      <c r="T439" s="6">
        <v>93.1</v>
      </c>
      <c r="U439" s="3">
        <v>46300.208333333343</v>
      </c>
      <c r="W439" t="s">
        <v>1797</v>
      </c>
      <c r="X439" t="s">
        <v>70</v>
      </c>
      <c r="Y439" t="s">
        <v>68</v>
      </c>
      <c r="Z439" t="s">
        <v>1798</v>
      </c>
      <c r="AA439" t="s">
        <v>522</v>
      </c>
      <c r="AB439" t="s">
        <v>67</v>
      </c>
      <c r="AC439" t="s">
        <v>70</v>
      </c>
      <c r="AD439" t="s">
        <v>71</v>
      </c>
      <c r="AE439" t="s">
        <v>84</v>
      </c>
      <c r="AF439" t="s">
        <v>67</v>
      </c>
      <c r="AG439" t="s">
        <v>82</v>
      </c>
      <c r="AH439" t="b">
        <v>0</v>
      </c>
      <c r="AI439" t="b">
        <v>0</v>
      </c>
      <c r="AJ439" t="b">
        <v>0</v>
      </c>
      <c r="AK439" t="b">
        <v>1</v>
      </c>
      <c r="AL439" s="6">
        <v>93.1</v>
      </c>
      <c r="AM439" s="3">
        <v>46300.208333333343</v>
      </c>
      <c r="AN439">
        <v>1</v>
      </c>
      <c r="AO439" s="3"/>
      <c r="AT439" t="b">
        <v>0</v>
      </c>
      <c r="AU439" t="s">
        <v>74</v>
      </c>
      <c r="AV439" t="b">
        <v>1</v>
      </c>
      <c r="AW439" t="b">
        <v>0</v>
      </c>
      <c r="AX439" s="5">
        <v>0</v>
      </c>
      <c r="AY439" s="3"/>
      <c r="AZ439" t="s">
        <v>67</v>
      </c>
      <c r="BA439" t="s">
        <v>67</v>
      </c>
      <c r="BB439" t="s">
        <v>317</v>
      </c>
    </row>
    <row r="440" spans="1:54" x14ac:dyDescent="0.3">
      <c r="A440">
        <v>1</v>
      </c>
      <c r="B440">
        <v>15</v>
      </c>
      <c r="C440" t="s">
        <v>54</v>
      </c>
      <c r="D440" s="3">
        <v>46029.426168981481</v>
      </c>
      <c r="E440" s="8">
        <v>46066</v>
      </c>
      <c r="F440" t="s">
        <v>1796</v>
      </c>
      <c r="G440" t="s">
        <v>56</v>
      </c>
      <c r="H440" t="s">
        <v>237</v>
      </c>
      <c r="I440" t="s">
        <v>238</v>
      </c>
      <c r="J440" t="s">
        <v>59</v>
      </c>
      <c r="L440" t="s">
        <v>699</v>
      </c>
      <c r="M440" t="s">
        <v>63</v>
      </c>
      <c r="N440" t="s">
        <v>63</v>
      </c>
      <c r="O440" t="s">
        <v>916</v>
      </c>
      <c r="P440" t="s">
        <v>917</v>
      </c>
      <c r="Q440" s="5">
        <v>2</v>
      </c>
      <c r="R440" s="6">
        <v>1141</v>
      </c>
      <c r="S440" s="6">
        <v>2282</v>
      </c>
      <c r="T440" s="6">
        <v>1426</v>
      </c>
      <c r="U440" s="3">
        <v>46300.208333333343</v>
      </c>
      <c r="W440" t="s">
        <v>1797</v>
      </c>
      <c r="X440" t="s">
        <v>70</v>
      </c>
      <c r="Y440" t="s">
        <v>23</v>
      </c>
      <c r="Z440" t="s">
        <v>1798</v>
      </c>
      <c r="AA440" t="s">
        <v>522</v>
      </c>
      <c r="AB440" t="s">
        <v>67</v>
      </c>
      <c r="AC440" t="s">
        <v>70</v>
      </c>
      <c r="AD440" t="s">
        <v>71</v>
      </c>
      <c r="AF440" t="s">
        <v>67</v>
      </c>
      <c r="AH440" t="b">
        <v>0</v>
      </c>
      <c r="AI440" t="b">
        <v>0</v>
      </c>
      <c r="AJ440" t="b">
        <v>0</v>
      </c>
      <c r="AK440" t="b">
        <v>1</v>
      </c>
      <c r="AL440" s="6">
        <v>713</v>
      </c>
      <c r="AM440" s="3">
        <v>46300.208333333343</v>
      </c>
      <c r="AN440">
        <v>0</v>
      </c>
      <c r="AO440" s="3"/>
      <c r="AT440" t="b">
        <v>0</v>
      </c>
      <c r="AU440" t="s">
        <v>74</v>
      </c>
      <c r="AV440" t="b">
        <v>1</v>
      </c>
      <c r="AW440" t="b">
        <v>0</v>
      </c>
      <c r="AX440" s="5">
        <v>0</v>
      </c>
      <c r="AY440" s="3"/>
      <c r="AZ440" t="s">
        <v>67</v>
      </c>
      <c r="BA440" t="s">
        <v>67</v>
      </c>
      <c r="BB440" t="s">
        <v>317</v>
      </c>
    </row>
    <row r="441" spans="1:54" x14ac:dyDescent="0.3">
      <c r="A441">
        <v>1</v>
      </c>
      <c r="B441">
        <v>15</v>
      </c>
      <c r="C441" t="s">
        <v>54</v>
      </c>
      <c r="D441" s="3">
        <v>46029.426168981481</v>
      </c>
      <c r="E441" s="8">
        <v>46066</v>
      </c>
      <c r="F441" t="s">
        <v>1796</v>
      </c>
      <c r="G441" t="s">
        <v>56</v>
      </c>
      <c r="H441" t="s">
        <v>237</v>
      </c>
      <c r="I441" t="s">
        <v>238</v>
      </c>
      <c r="J441" t="s">
        <v>59</v>
      </c>
      <c r="L441" t="s">
        <v>699</v>
      </c>
      <c r="M441" t="s">
        <v>63</v>
      </c>
      <c r="N441" t="s">
        <v>63</v>
      </c>
      <c r="O441" t="s">
        <v>916</v>
      </c>
      <c r="P441" t="s">
        <v>917</v>
      </c>
      <c r="Q441" s="5">
        <v>2</v>
      </c>
      <c r="R441" s="6">
        <v>1141</v>
      </c>
      <c r="S441" s="6">
        <v>2282</v>
      </c>
      <c r="T441" s="6">
        <v>1426</v>
      </c>
      <c r="U441" s="3">
        <v>46300.208333333343</v>
      </c>
      <c r="W441" t="s">
        <v>1797</v>
      </c>
      <c r="X441" t="s">
        <v>70</v>
      </c>
      <c r="Y441" t="s">
        <v>23</v>
      </c>
      <c r="Z441" t="s">
        <v>1798</v>
      </c>
      <c r="AA441" t="s">
        <v>522</v>
      </c>
      <c r="AB441" t="s">
        <v>67</v>
      </c>
      <c r="AC441" t="s">
        <v>70</v>
      </c>
      <c r="AD441" t="s">
        <v>71</v>
      </c>
      <c r="AF441" t="s">
        <v>67</v>
      </c>
      <c r="AH441" t="b">
        <v>0</v>
      </c>
      <c r="AI441" t="b">
        <v>0</v>
      </c>
      <c r="AJ441" t="b">
        <v>0</v>
      </c>
      <c r="AK441" t="b">
        <v>1</v>
      </c>
      <c r="AL441" s="6">
        <v>713</v>
      </c>
      <c r="AM441" s="3">
        <v>46300.208333333343</v>
      </c>
      <c r="AN441">
        <v>1</v>
      </c>
      <c r="AO441" s="3"/>
      <c r="AT441" t="b">
        <v>0</v>
      </c>
      <c r="AU441" t="s">
        <v>74</v>
      </c>
      <c r="AV441" t="b">
        <v>1</v>
      </c>
      <c r="AW441" t="b">
        <v>0</v>
      </c>
      <c r="AX441" s="5">
        <v>0</v>
      </c>
      <c r="AY441" s="3"/>
      <c r="AZ441" t="s">
        <v>67</v>
      </c>
      <c r="BA441" t="s">
        <v>67</v>
      </c>
      <c r="BB441" t="s">
        <v>317</v>
      </c>
    </row>
    <row r="442" spans="1:54" x14ac:dyDescent="0.3">
      <c r="A442">
        <v>1</v>
      </c>
      <c r="B442">
        <v>15</v>
      </c>
      <c r="C442" t="s">
        <v>54</v>
      </c>
      <c r="D442" s="3">
        <v>46029.426168981481</v>
      </c>
      <c r="E442" s="8">
        <v>46066</v>
      </c>
      <c r="F442" t="s">
        <v>1796</v>
      </c>
      <c r="G442" t="s">
        <v>56</v>
      </c>
      <c r="H442" t="s">
        <v>237</v>
      </c>
      <c r="I442" t="s">
        <v>238</v>
      </c>
      <c r="J442" t="s">
        <v>59</v>
      </c>
      <c r="L442" t="s">
        <v>699</v>
      </c>
      <c r="M442" t="s">
        <v>63</v>
      </c>
      <c r="N442" t="s">
        <v>63</v>
      </c>
      <c r="O442" t="s">
        <v>918</v>
      </c>
      <c r="P442" t="s">
        <v>919</v>
      </c>
      <c r="Q442" s="5">
        <v>6</v>
      </c>
      <c r="R442" s="6">
        <v>87</v>
      </c>
      <c r="S442" s="6">
        <v>522</v>
      </c>
      <c r="T442" s="6">
        <v>324</v>
      </c>
      <c r="U442" s="3">
        <v>46300.208333333343</v>
      </c>
      <c r="W442" t="s">
        <v>1797</v>
      </c>
      <c r="X442" t="s">
        <v>70</v>
      </c>
      <c r="Y442" t="s">
        <v>23</v>
      </c>
      <c r="Z442" t="s">
        <v>1798</v>
      </c>
      <c r="AA442" t="s">
        <v>522</v>
      </c>
      <c r="AB442" t="s">
        <v>67</v>
      </c>
      <c r="AC442" t="s">
        <v>70</v>
      </c>
      <c r="AD442" t="s">
        <v>71</v>
      </c>
      <c r="AE442" t="s">
        <v>102</v>
      </c>
      <c r="AF442" t="s">
        <v>67</v>
      </c>
      <c r="AH442" t="b">
        <v>0</v>
      </c>
      <c r="AI442" t="b">
        <v>0</v>
      </c>
      <c r="AJ442" t="b">
        <v>0</v>
      </c>
      <c r="AK442" t="b">
        <v>1</v>
      </c>
      <c r="AL442" s="6">
        <v>54</v>
      </c>
      <c r="AM442" s="3">
        <v>46300.208333333343</v>
      </c>
      <c r="AN442">
        <v>0</v>
      </c>
      <c r="AO442" s="3"/>
      <c r="AT442" t="b">
        <v>0</v>
      </c>
      <c r="AU442" t="s">
        <v>74</v>
      </c>
      <c r="AV442" t="b">
        <v>1</v>
      </c>
      <c r="AW442" t="b">
        <v>0</v>
      </c>
      <c r="AX442" s="5">
        <v>0</v>
      </c>
      <c r="AY442" s="3"/>
      <c r="AZ442" t="s">
        <v>67</v>
      </c>
      <c r="BA442" t="s">
        <v>67</v>
      </c>
      <c r="BB442" t="s">
        <v>317</v>
      </c>
    </row>
    <row r="443" spans="1:54" x14ac:dyDescent="0.3">
      <c r="A443">
        <v>1</v>
      </c>
      <c r="B443">
        <v>15</v>
      </c>
      <c r="C443" t="s">
        <v>54</v>
      </c>
      <c r="D443" s="3">
        <v>46029.426168981481</v>
      </c>
      <c r="E443" s="8">
        <v>46066</v>
      </c>
      <c r="F443" t="s">
        <v>1796</v>
      </c>
      <c r="G443" t="s">
        <v>56</v>
      </c>
      <c r="H443" t="s">
        <v>237</v>
      </c>
      <c r="I443" t="s">
        <v>238</v>
      </c>
      <c r="J443" t="s">
        <v>59</v>
      </c>
      <c r="L443" t="s">
        <v>699</v>
      </c>
      <c r="M443" t="s">
        <v>63</v>
      </c>
      <c r="N443" t="s">
        <v>63</v>
      </c>
      <c r="O443" t="s">
        <v>918</v>
      </c>
      <c r="P443" t="s">
        <v>919</v>
      </c>
      <c r="Q443" s="5">
        <v>6</v>
      </c>
      <c r="R443" s="6">
        <v>87</v>
      </c>
      <c r="S443" s="6">
        <v>522</v>
      </c>
      <c r="T443" s="6">
        <v>324</v>
      </c>
      <c r="U443" s="3">
        <v>46300.208333333343</v>
      </c>
      <c r="W443" t="s">
        <v>1797</v>
      </c>
      <c r="X443" t="s">
        <v>70</v>
      </c>
      <c r="Y443" t="s">
        <v>23</v>
      </c>
      <c r="Z443" t="s">
        <v>1798</v>
      </c>
      <c r="AA443" t="s">
        <v>522</v>
      </c>
      <c r="AB443" t="s">
        <v>67</v>
      </c>
      <c r="AC443" t="s">
        <v>70</v>
      </c>
      <c r="AD443" t="s">
        <v>71</v>
      </c>
      <c r="AE443" t="s">
        <v>102</v>
      </c>
      <c r="AF443" t="s">
        <v>67</v>
      </c>
      <c r="AH443" t="b">
        <v>0</v>
      </c>
      <c r="AI443" t="b">
        <v>0</v>
      </c>
      <c r="AJ443" t="b">
        <v>0</v>
      </c>
      <c r="AK443" t="b">
        <v>1</v>
      </c>
      <c r="AL443" s="6">
        <v>54</v>
      </c>
      <c r="AM443" s="3">
        <v>46300.208333333343</v>
      </c>
      <c r="AN443">
        <v>1</v>
      </c>
      <c r="AO443" s="3"/>
      <c r="AT443" t="b">
        <v>0</v>
      </c>
      <c r="AU443" t="s">
        <v>74</v>
      </c>
      <c r="AV443" t="b">
        <v>1</v>
      </c>
      <c r="AW443" t="b">
        <v>0</v>
      </c>
      <c r="AX443" s="5">
        <v>0</v>
      </c>
      <c r="AY443" s="3"/>
      <c r="AZ443" t="s">
        <v>67</v>
      </c>
      <c r="BA443" t="s">
        <v>67</v>
      </c>
      <c r="BB443" t="s">
        <v>317</v>
      </c>
    </row>
    <row r="444" spans="1:54" x14ac:dyDescent="0.3">
      <c r="A444">
        <v>1</v>
      </c>
      <c r="B444">
        <v>15</v>
      </c>
      <c r="C444" t="s">
        <v>54</v>
      </c>
      <c r="D444" s="3">
        <v>46029.426168981481</v>
      </c>
      <c r="E444" s="8">
        <v>46066</v>
      </c>
      <c r="F444" t="s">
        <v>1796</v>
      </c>
      <c r="G444" t="s">
        <v>56</v>
      </c>
      <c r="H444" t="s">
        <v>237</v>
      </c>
      <c r="I444" t="s">
        <v>238</v>
      </c>
      <c r="J444" t="s">
        <v>59</v>
      </c>
      <c r="L444" t="s">
        <v>699</v>
      </c>
      <c r="M444" t="s">
        <v>63</v>
      </c>
      <c r="N444" t="s">
        <v>63</v>
      </c>
      <c r="O444" t="s">
        <v>920</v>
      </c>
      <c r="P444" t="s">
        <v>921</v>
      </c>
      <c r="Q444" s="5">
        <v>2</v>
      </c>
      <c r="R444" s="6">
        <v>685</v>
      </c>
      <c r="S444" s="6">
        <v>1370</v>
      </c>
      <c r="T444" s="6">
        <v>856</v>
      </c>
      <c r="U444" s="3">
        <v>46300.208333333343</v>
      </c>
      <c r="W444" t="s">
        <v>1797</v>
      </c>
      <c r="X444" t="s">
        <v>70</v>
      </c>
      <c r="Y444" t="s">
        <v>23</v>
      </c>
      <c r="Z444" t="s">
        <v>1798</v>
      </c>
      <c r="AA444" t="s">
        <v>522</v>
      </c>
      <c r="AB444" t="s">
        <v>67</v>
      </c>
      <c r="AC444" t="s">
        <v>70</v>
      </c>
      <c r="AD444" t="s">
        <v>71</v>
      </c>
      <c r="AE444" t="s">
        <v>102</v>
      </c>
      <c r="AF444" t="s">
        <v>67</v>
      </c>
      <c r="AH444" t="b">
        <v>0</v>
      </c>
      <c r="AI444" t="b">
        <v>0</v>
      </c>
      <c r="AJ444" t="b">
        <v>0</v>
      </c>
      <c r="AK444" t="b">
        <v>1</v>
      </c>
      <c r="AL444" s="6">
        <v>428</v>
      </c>
      <c r="AM444" s="3">
        <v>46300.208333333343</v>
      </c>
      <c r="AN444">
        <v>0</v>
      </c>
      <c r="AO444" s="3"/>
      <c r="AT444" t="b">
        <v>0</v>
      </c>
      <c r="AU444" t="s">
        <v>74</v>
      </c>
      <c r="AV444" t="b">
        <v>1</v>
      </c>
      <c r="AW444" t="b">
        <v>0</v>
      </c>
      <c r="AX444" s="5">
        <v>0</v>
      </c>
      <c r="AY444" s="3"/>
      <c r="AZ444" t="s">
        <v>67</v>
      </c>
      <c r="BA444" t="s">
        <v>67</v>
      </c>
      <c r="BB444" t="s">
        <v>317</v>
      </c>
    </row>
    <row r="445" spans="1:54" x14ac:dyDescent="0.3">
      <c r="A445">
        <v>1</v>
      </c>
      <c r="B445">
        <v>15</v>
      </c>
      <c r="C445" t="s">
        <v>54</v>
      </c>
      <c r="D445" s="3">
        <v>46029.426168981481</v>
      </c>
      <c r="E445" s="8">
        <v>46066</v>
      </c>
      <c r="F445" t="s">
        <v>1796</v>
      </c>
      <c r="G445" t="s">
        <v>56</v>
      </c>
      <c r="H445" t="s">
        <v>237</v>
      </c>
      <c r="I445" t="s">
        <v>238</v>
      </c>
      <c r="J445" t="s">
        <v>59</v>
      </c>
      <c r="L445" t="s">
        <v>699</v>
      </c>
      <c r="M445" t="s">
        <v>63</v>
      </c>
      <c r="N445" t="s">
        <v>63</v>
      </c>
      <c r="O445" t="s">
        <v>920</v>
      </c>
      <c r="P445" t="s">
        <v>921</v>
      </c>
      <c r="Q445" s="5">
        <v>2</v>
      </c>
      <c r="R445" s="6">
        <v>685</v>
      </c>
      <c r="S445" s="6">
        <v>1370</v>
      </c>
      <c r="T445" s="6">
        <v>856</v>
      </c>
      <c r="U445" s="3">
        <v>46300.208333333343</v>
      </c>
      <c r="W445" t="s">
        <v>1797</v>
      </c>
      <c r="X445" t="s">
        <v>70</v>
      </c>
      <c r="Y445" t="s">
        <v>23</v>
      </c>
      <c r="Z445" t="s">
        <v>1798</v>
      </c>
      <c r="AA445" t="s">
        <v>522</v>
      </c>
      <c r="AB445" t="s">
        <v>67</v>
      </c>
      <c r="AC445" t="s">
        <v>70</v>
      </c>
      <c r="AD445" t="s">
        <v>71</v>
      </c>
      <c r="AE445" t="s">
        <v>102</v>
      </c>
      <c r="AF445" t="s">
        <v>67</v>
      </c>
      <c r="AH445" t="b">
        <v>0</v>
      </c>
      <c r="AI445" t="b">
        <v>0</v>
      </c>
      <c r="AJ445" t="b">
        <v>0</v>
      </c>
      <c r="AK445" t="b">
        <v>1</v>
      </c>
      <c r="AL445" s="6">
        <v>428</v>
      </c>
      <c r="AM445" s="3">
        <v>46300.208333333343</v>
      </c>
      <c r="AN445">
        <v>1</v>
      </c>
      <c r="AO445" s="3"/>
      <c r="AT445" t="b">
        <v>0</v>
      </c>
      <c r="AU445" t="s">
        <v>74</v>
      </c>
      <c r="AV445" t="b">
        <v>1</v>
      </c>
      <c r="AW445" t="b">
        <v>0</v>
      </c>
      <c r="AX445" s="5">
        <v>0</v>
      </c>
      <c r="AY445" s="3"/>
      <c r="AZ445" t="s">
        <v>67</v>
      </c>
      <c r="BA445" t="s">
        <v>67</v>
      </c>
      <c r="BB445" t="s">
        <v>317</v>
      </c>
    </row>
    <row r="446" spans="1:54" x14ac:dyDescent="0.3">
      <c r="A446">
        <v>1</v>
      </c>
      <c r="B446">
        <v>15</v>
      </c>
      <c r="C446" t="s">
        <v>54</v>
      </c>
      <c r="D446" s="3">
        <v>46029.426168981481</v>
      </c>
      <c r="E446" s="8">
        <v>46066</v>
      </c>
      <c r="F446" t="s">
        <v>1796</v>
      </c>
      <c r="G446" t="s">
        <v>56</v>
      </c>
      <c r="H446" t="s">
        <v>237</v>
      </c>
      <c r="I446" t="s">
        <v>238</v>
      </c>
      <c r="J446" t="s">
        <v>59</v>
      </c>
      <c r="L446" t="s">
        <v>699</v>
      </c>
      <c r="M446" t="s">
        <v>63</v>
      </c>
      <c r="N446" t="s">
        <v>63</v>
      </c>
      <c r="O446" t="s">
        <v>903</v>
      </c>
      <c r="P446" t="s">
        <v>904</v>
      </c>
      <c r="Q446" s="5">
        <v>2</v>
      </c>
      <c r="R446" s="6">
        <v>173</v>
      </c>
      <c r="S446" s="6">
        <v>346</v>
      </c>
      <c r="T446" s="6">
        <v>216</v>
      </c>
      <c r="U446" s="3">
        <v>46300.208333333343</v>
      </c>
      <c r="W446" t="s">
        <v>1797</v>
      </c>
      <c r="X446" t="s">
        <v>70</v>
      </c>
      <c r="Y446" t="s">
        <v>23</v>
      </c>
      <c r="Z446" t="s">
        <v>1798</v>
      </c>
      <c r="AA446" t="s">
        <v>522</v>
      </c>
      <c r="AB446" t="s">
        <v>67</v>
      </c>
      <c r="AC446" t="s">
        <v>70</v>
      </c>
      <c r="AD446" t="s">
        <v>71</v>
      </c>
      <c r="AE446" t="s">
        <v>102</v>
      </c>
      <c r="AF446" t="s">
        <v>67</v>
      </c>
      <c r="AH446" t="b">
        <v>0</v>
      </c>
      <c r="AI446" t="b">
        <v>0</v>
      </c>
      <c r="AJ446" t="b">
        <v>0</v>
      </c>
      <c r="AK446" t="b">
        <v>1</v>
      </c>
      <c r="AL446" s="6">
        <v>108</v>
      </c>
      <c r="AM446" s="3">
        <v>46300.208333333343</v>
      </c>
      <c r="AN446">
        <v>0</v>
      </c>
      <c r="AO446" s="3"/>
      <c r="AT446" t="b">
        <v>0</v>
      </c>
      <c r="AU446" t="s">
        <v>74</v>
      </c>
      <c r="AV446" t="b">
        <v>1</v>
      </c>
      <c r="AW446" t="b">
        <v>0</v>
      </c>
      <c r="AX446" s="5">
        <v>0</v>
      </c>
      <c r="AY446" s="3"/>
      <c r="AZ446" t="s">
        <v>67</v>
      </c>
      <c r="BA446" t="s">
        <v>67</v>
      </c>
      <c r="BB446" t="s">
        <v>317</v>
      </c>
    </row>
    <row r="447" spans="1:54" x14ac:dyDescent="0.3">
      <c r="A447">
        <v>1</v>
      </c>
      <c r="B447">
        <v>15</v>
      </c>
      <c r="C447" t="s">
        <v>54</v>
      </c>
      <c r="D447" s="3">
        <v>46029.426168981481</v>
      </c>
      <c r="E447" s="8">
        <v>46066</v>
      </c>
      <c r="F447" t="s">
        <v>1796</v>
      </c>
      <c r="G447" t="s">
        <v>56</v>
      </c>
      <c r="H447" t="s">
        <v>237</v>
      </c>
      <c r="I447" t="s">
        <v>238</v>
      </c>
      <c r="J447" t="s">
        <v>59</v>
      </c>
      <c r="L447" t="s">
        <v>699</v>
      </c>
      <c r="M447" t="s">
        <v>63</v>
      </c>
      <c r="N447" t="s">
        <v>63</v>
      </c>
      <c r="O447" t="s">
        <v>903</v>
      </c>
      <c r="P447" t="s">
        <v>904</v>
      </c>
      <c r="Q447" s="5">
        <v>2</v>
      </c>
      <c r="R447" s="6">
        <v>173</v>
      </c>
      <c r="S447" s="6">
        <v>346</v>
      </c>
      <c r="T447" s="6">
        <v>216</v>
      </c>
      <c r="U447" s="3">
        <v>46300.208333333343</v>
      </c>
      <c r="W447" t="s">
        <v>1797</v>
      </c>
      <c r="X447" t="s">
        <v>70</v>
      </c>
      <c r="Y447" t="s">
        <v>23</v>
      </c>
      <c r="Z447" t="s">
        <v>1798</v>
      </c>
      <c r="AA447" t="s">
        <v>522</v>
      </c>
      <c r="AB447" t="s">
        <v>67</v>
      </c>
      <c r="AC447" t="s">
        <v>70</v>
      </c>
      <c r="AD447" t="s">
        <v>71</v>
      </c>
      <c r="AE447" t="s">
        <v>102</v>
      </c>
      <c r="AF447" t="s">
        <v>67</v>
      </c>
      <c r="AH447" t="b">
        <v>0</v>
      </c>
      <c r="AI447" t="b">
        <v>0</v>
      </c>
      <c r="AJ447" t="b">
        <v>0</v>
      </c>
      <c r="AK447" t="b">
        <v>1</v>
      </c>
      <c r="AL447" s="6">
        <v>108</v>
      </c>
      <c r="AM447" s="3">
        <v>46300.208333333343</v>
      </c>
      <c r="AN447">
        <v>1</v>
      </c>
      <c r="AO447" s="3"/>
      <c r="AT447" t="b">
        <v>0</v>
      </c>
      <c r="AU447" t="s">
        <v>74</v>
      </c>
      <c r="AV447" t="b">
        <v>1</v>
      </c>
      <c r="AW447" t="b">
        <v>0</v>
      </c>
      <c r="AX447" s="5">
        <v>0</v>
      </c>
      <c r="AY447" s="3"/>
      <c r="AZ447" t="s">
        <v>67</v>
      </c>
      <c r="BA447" t="s">
        <v>67</v>
      </c>
      <c r="BB447" t="s">
        <v>317</v>
      </c>
    </row>
    <row r="448" spans="1:54" x14ac:dyDescent="0.3">
      <c r="A448">
        <v>1</v>
      </c>
      <c r="B448">
        <v>15</v>
      </c>
      <c r="C448" t="s">
        <v>54</v>
      </c>
      <c r="D448" s="3">
        <v>46029.426168981481</v>
      </c>
      <c r="E448" s="8">
        <v>46066</v>
      </c>
      <c r="F448" t="s">
        <v>1796</v>
      </c>
      <c r="G448" t="s">
        <v>56</v>
      </c>
      <c r="H448" t="s">
        <v>237</v>
      </c>
      <c r="I448" t="s">
        <v>238</v>
      </c>
      <c r="J448" t="s">
        <v>59</v>
      </c>
      <c r="L448" t="s">
        <v>699</v>
      </c>
      <c r="M448" t="s">
        <v>63</v>
      </c>
      <c r="N448" t="s">
        <v>63</v>
      </c>
      <c r="O448" t="s">
        <v>1799</v>
      </c>
      <c r="P448" t="s">
        <v>1800</v>
      </c>
      <c r="Q448" s="5">
        <v>2</v>
      </c>
      <c r="R448" s="6">
        <v>346</v>
      </c>
      <c r="S448" s="6">
        <v>692</v>
      </c>
      <c r="T448" s="6">
        <v>432</v>
      </c>
      <c r="U448" s="3">
        <v>46300.208333333343</v>
      </c>
      <c r="W448" t="s">
        <v>1797</v>
      </c>
      <c r="X448" t="s">
        <v>70</v>
      </c>
      <c r="Y448" t="s">
        <v>23</v>
      </c>
      <c r="Z448" t="s">
        <v>1798</v>
      </c>
      <c r="AA448" t="s">
        <v>522</v>
      </c>
      <c r="AB448" t="s">
        <v>67</v>
      </c>
      <c r="AC448" t="s">
        <v>70</v>
      </c>
      <c r="AD448" t="s">
        <v>71</v>
      </c>
      <c r="AE448" t="s">
        <v>102</v>
      </c>
      <c r="AF448" t="s">
        <v>67</v>
      </c>
      <c r="AH448" t="b">
        <v>0</v>
      </c>
      <c r="AI448" t="b">
        <v>0</v>
      </c>
      <c r="AJ448" t="b">
        <v>0</v>
      </c>
      <c r="AK448" t="b">
        <v>1</v>
      </c>
      <c r="AL448" s="6">
        <v>216</v>
      </c>
      <c r="AM448" s="3">
        <v>46300.208333333343</v>
      </c>
      <c r="AN448">
        <v>0</v>
      </c>
      <c r="AO448" s="3"/>
      <c r="AT448" t="b">
        <v>0</v>
      </c>
      <c r="AU448" t="s">
        <v>74</v>
      </c>
      <c r="AV448" t="b">
        <v>1</v>
      </c>
      <c r="AW448" t="b">
        <v>0</v>
      </c>
      <c r="AX448" s="5">
        <v>0</v>
      </c>
      <c r="AY448" s="3"/>
      <c r="AZ448" t="s">
        <v>67</v>
      </c>
      <c r="BA448" t="s">
        <v>67</v>
      </c>
      <c r="BB448" t="s">
        <v>317</v>
      </c>
    </row>
    <row r="449" spans="1:54" x14ac:dyDescent="0.3">
      <c r="A449">
        <v>1</v>
      </c>
      <c r="B449">
        <v>15</v>
      </c>
      <c r="C449" t="s">
        <v>54</v>
      </c>
      <c r="D449" s="3">
        <v>46029.426168981481</v>
      </c>
      <c r="E449" s="8">
        <v>46066</v>
      </c>
      <c r="F449" t="s">
        <v>1796</v>
      </c>
      <c r="G449" t="s">
        <v>56</v>
      </c>
      <c r="H449" t="s">
        <v>237</v>
      </c>
      <c r="I449" t="s">
        <v>238</v>
      </c>
      <c r="J449" t="s">
        <v>59</v>
      </c>
      <c r="L449" t="s">
        <v>699</v>
      </c>
      <c r="M449" t="s">
        <v>63</v>
      </c>
      <c r="N449" t="s">
        <v>63</v>
      </c>
      <c r="O449" t="s">
        <v>1799</v>
      </c>
      <c r="P449" t="s">
        <v>1800</v>
      </c>
      <c r="Q449" s="5">
        <v>2</v>
      </c>
      <c r="R449" s="6">
        <v>346</v>
      </c>
      <c r="S449" s="6">
        <v>692</v>
      </c>
      <c r="T449" s="6">
        <v>432</v>
      </c>
      <c r="U449" s="3">
        <v>46300.208333333343</v>
      </c>
      <c r="W449" t="s">
        <v>1797</v>
      </c>
      <c r="X449" t="s">
        <v>70</v>
      </c>
      <c r="Y449" t="s">
        <v>23</v>
      </c>
      <c r="Z449" t="s">
        <v>1798</v>
      </c>
      <c r="AA449" t="s">
        <v>522</v>
      </c>
      <c r="AB449" t="s">
        <v>67</v>
      </c>
      <c r="AC449" t="s">
        <v>70</v>
      </c>
      <c r="AD449" t="s">
        <v>71</v>
      </c>
      <c r="AE449" t="s">
        <v>102</v>
      </c>
      <c r="AF449" t="s">
        <v>67</v>
      </c>
      <c r="AH449" t="b">
        <v>0</v>
      </c>
      <c r="AI449" t="b">
        <v>0</v>
      </c>
      <c r="AJ449" t="b">
        <v>0</v>
      </c>
      <c r="AK449" t="b">
        <v>1</v>
      </c>
      <c r="AL449" s="6">
        <v>216</v>
      </c>
      <c r="AM449" s="3">
        <v>46300.208333333343</v>
      </c>
      <c r="AN449">
        <v>1</v>
      </c>
      <c r="AO449" s="3"/>
      <c r="AT449" t="b">
        <v>0</v>
      </c>
      <c r="AU449" t="s">
        <v>74</v>
      </c>
      <c r="AV449" t="b">
        <v>1</v>
      </c>
      <c r="AW449" t="b">
        <v>0</v>
      </c>
      <c r="AX449" s="5">
        <v>0</v>
      </c>
      <c r="AY449" s="3"/>
      <c r="AZ449" t="s">
        <v>67</v>
      </c>
      <c r="BA449" t="s">
        <v>67</v>
      </c>
      <c r="BB449" t="s">
        <v>317</v>
      </c>
    </row>
    <row r="450" spans="1:54" x14ac:dyDescent="0.3">
      <c r="A450">
        <v>1</v>
      </c>
      <c r="B450">
        <v>15</v>
      </c>
      <c r="C450" t="s">
        <v>54</v>
      </c>
      <c r="D450" s="3">
        <v>46029.426168981481</v>
      </c>
      <c r="E450" s="8">
        <v>46066</v>
      </c>
      <c r="F450" t="s">
        <v>1796</v>
      </c>
      <c r="G450" t="s">
        <v>56</v>
      </c>
      <c r="H450" t="s">
        <v>237</v>
      </c>
      <c r="I450" t="s">
        <v>238</v>
      </c>
      <c r="J450" t="s">
        <v>59</v>
      </c>
      <c r="L450" t="s">
        <v>699</v>
      </c>
      <c r="M450" t="s">
        <v>63</v>
      </c>
      <c r="N450" t="s">
        <v>63</v>
      </c>
      <c r="O450" t="s">
        <v>1801</v>
      </c>
      <c r="P450" t="s">
        <v>1802</v>
      </c>
      <c r="Q450" s="5">
        <v>4</v>
      </c>
      <c r="R450" s="6">
        <v>133</v>
      </c>
      <c r="S450" s="6">
        <v>532</v>
      </c>
      <c r="T450" s="6">
        <v>193.2</v>
      </c>
      <c r="U450" s="3">
        <v>46300.208333333343</v>
      </c>
      <c r="W450" t="s">
        <v>1797</v>
      </c>
      <c r="X450" t="s">
        <v>70</v>
      </c>
      <c r="Y450" t="s">
        <v>68</v>
      </c>
      <c r="Z450" t="s">
        <v>1798</v>
      </c>
      <c r="AA450" t="s">
        <v>522</v>
      </c>
      <c r="AB450" t="s">
        <v>67</v>
      </c>
      <c r="AC450" t="s">
        <v>70</v>
      </c>
      <c r="AD450" t="s">
        <v>71</v>
      </c>
      <c r="AE450" t="s">
        <v>220</v>
      </c>
      <c r="AF450" t="s">
        <v>67</v>
      </c>
      <c r="AG450" t="s">
        <v>1803</v>
      </c>
      <c r="AH450" t="b">
        <v>0</v>
      </c>
      <c r="AI450" t="b">
        <v>0</v>
      </c>
      <c r="AJ450" t="b">
        <v>0</v>
      </c>
      <c r="AK450" t="b">
        <v>1</v>
      </c>
      <c r="AL450" s="6">
        <v>48.3</v>
      </c>
      <c r="AM450" s="3">
        <v>46300.208333333343</v>
      </c>
      <c r="AN450">
        <v>0</v>
      </c>
      <c r="AO450" s="3"/>
      <c r="AT450" t="b">
        <v>0</v>
      </c>
      <c r="AU450" t="s">
        <v>74</v>
      </c>
      <c r="AV450" t="b">
        <v>1</v>
      </c>
      <c r="AW450" t="b">
        <v>0</v>
      </c>
      <c r="AX450" s="5">
        <v>0</v>
      </c>
      <c r="AY450" s="3"/>
      <c r="AZ450" t="s">
        <v>67</v>
      </c>
      <c r="BA450" t="s">
        <v>67</v>
      </c>
      <c r="BB450" t="s">
        <v>317</v>
      </c>
    </row>
    <row r="451" spans="1:54" x14ac:dyDescent="0.3">
      <c r="A451">
        <v>1</v>
      </c>
      <c r="B451">
        <v>15</v>
      </c>
      <c r="C451" t="s">
        <v>54</v>
      </c>
      <c r="D451" s="3">
        <v>46029.426168981481</v>
      </c>
      <c r="E451" s="8">
        <v>46066</v>
      </c>
      <c r="F451" t="s">
        <v>1796</v>
      </c>
      <c r="G451" t="s">
        <v>56</v>
      </c>
      <c r="H451" t="s">
        <v>237</v>
      </c>
      <c r="I451" t="s">
        <v>238</v>
      </c>
      <c r="J451" t="s">
        <v>59</v>
      </c>
      <c r="L451" t="s">
        <v>699</v>
      </c>
      <c r="M451" t="s">
        <v>63</v>
      </c>
      <c r="N451" t="s">
        <v>63</v>
      </c>
      <c r="O451" t="s">
        <v>1801</v>
      </c>
      <c r="P451" t="s">
        <v>1802</v>
      </c>
      <c r="Q451" s="5">
        <v>4</v>
      </c>
      <c r="R451" s="6">
        <v>133</v>
      </c>
      <c r="S451" s="6">
        <v>532</v>
      </c>
      <c r="T451" s="6">
        <v>193.2</v>
      </c>
      <c r="U451" s="3">
        <v>46300.208333333343</v>
      </c>
      <c r="W451" t="s">
        <v>1797</v>
      </c>
      <c r="X451" t="s">
        <v>70</v>
      </c>
      <c r="Y451" t="s">
        <v>68</v>
      </c>
      <c r="Z451" t="s">
        <v>1798</v>
      </c>
      <c r="AA451" t="s">
        <v>522</v>
      </c>
      <c r="AB451" t="s">
        <v>67</v>
      </c>
      <c r="AC451" t="s">
        <v>70</v>
      </c>
      <c r="AD451" t="s">
        <v>71</v>
      </c>
      <c r="AE451" t="s">
        <v>220</v>
      </c>
      <c r="AF451" t="s">
        <v>67</v>
      </c>
      <c r="AG451" t="s">
        <v>1803</v>
      </c>
      <c r="AH451" t="b">
        <v>0</v>
      </c>
      <c r="AI451" t="b">
        <v>0</v>
      </c>
      <c r="AJ451" t="b">
        <v>0</v>
      </c>
      <c r="AK451" t="b">
        <v>1</v>
      </c>
      <c r="AL451" s="6">
        <v>48.3</v>
      </c>
      <c r="AM451" s="3">
        <v>46300.208333333343</v>
      </c>
      <c r="AN451">
        <v>1</v>
      </c>
      <c r="AO451" s="3"/>
      <c r="AT451" t="b">
        <v>0</v>
      </c>
      <c r="AU451" t="s">
        <v>74</v>
      </c>
      <c r="AV451" t="b">
        <v>1</v>
      </c>
      <c r="AW451" t="b">
        <v>0</v>
      </c>
      <c r="AX451" s="5">
        <v>0</v>
      </c>
      <c r="AY451" s="3"/>
      <c r="AZ451" t="s">
        <v>67</v>
      </c>
      <c r="BA451" t="s">
        <v>67</v>
      </c>
      <c r="BB451" t="s">
        <v>317</v>
      </c>
    </row>
    <row r="452" spans="1:54" x14ac:dyDescent="0.3">
      <c r="A452">
        <v>1</v>
      </c>
      <c r="B452">
        <v>15</v>
      </c>
      <c r="C452" t="s">
        <v>54</v>
      </c>
      <c r="D452" s="3">
        <v>46029.426168981481</v>
      </c>
      <c r="E452" s="8">
        <v>46066</v>
      </c>
      <c r="F452" t="s">
        <v>1796</v>
      </c>
      <c r="G452" t="s">
        <v>56</v>
      </c>
      <c r="H452" t="s">
        <v>237</v>
      </c>
      <c r="I452" t="s">
        <v>238</v>
      </c>
      <c r="J452" t="s">
        <v>59</v>
      </c>
      <c r="L452" t="s">
        <v>699</v>
      </c>
      <c r="M452" t="s">
        <v>63</v>
      </c>
      <c r="N452" t="s">
        <v>63</v>
      </c>
      <c r="O452" t="s">
        <v>1804</v>
      </c>
      <c r="P452" t="s">
        <v>1805</v>
      </c>
      <c r="Q452" s="5">
        <v>2</v>
      </c>
      <c r="R452" s="6">
        <v>324</v>
      </c>
      <c r="S452" s="6">
        <v>648</v>
      </c>
      <c r="T452" s="6">
        <v>235.52</v>
      </c>
      <c r="U452" s="3">
        <v>46300.208333333343</v>
      </c>
      <c r="W452" t="s">
        <v>1797</v>
      </c>
      <c r="X452" t="s">
        <v>70</v>
      </c>
      <c r="Y452" t="s">
        <v>68</v>
      </c>
      <c r="Z452" t="s">
        <v>1798</v>
      </c>
      <c r="AA452" t="s">
        <v>522</v>
      </c>
      <c r="AB452" t="s">
        <v>67</v>
      </c>
      <c r="AC452" t="s">
        <v>70</v>
      </c>
      <c r="AD452" t="s">
        <v>71</v>
      </c>
      <c r="AE452" t="s">
        <v>220</v>
      </c>
      <c r="AF452" t="s">
        <v>67</v>
      </c>
      <c r="AG452" t="s">
        <v>1806</v>
      </c>
      <c r="AH452" t="b">
        <v>0</v>
      </c>
      <c r="AI452" t="b">
        <v>0</v>
      </c>
      <c r="AJ452" t="b">
        <v>0</v>
      </c>
      <c r="AK452" t="b">
        <v>1</v>
      </c>
      <c r="AL452" s="6">
        <v>117.76</v>
      </c>
      <c r="AM452" s="3">
        <v>46300.208333333343</v>
      </c>
      <c r="AN452">
        <v>0</v>
      </c>
      <c r="AO452" s="3"/>
      <c r="AT452" t="b">
        <v>0</v>
      </c>
      <c r="AU452" t="s">
        <v>74</v>
      </c>
      <c r="AV452" t="b">
        <v>1</v>
      </c>
      <c r="AW452" t="b">
        <v>0</v>
      </c>
      <c r="AX452" s="5">
        <v>0</v>
      </c>
      <c r="AY452" s="3"/>
      <c r="AZ452" t="s">
        <v>67</v>
      </c>
      <c r="BA452" t="s">
        <v>67</v>
      </c>
      <c r="BB452" t="s">
        <v>317</v>
      </c>
    </row>
    <row r="453" spans="1:54" x14ac:dyDescent="0.3">
      <c r="A453">
        <v>1</v>
      </c>
      <c r="B453">
        <v>15</v>
      </c>
      <c r="C453" t="s">
        <v>54</v>
      </c>
      <c r="D453" s="3">
        <v>46029.426168981481</v>
      </c>
      <c r="E453" s="8">
        <v>46066</v>
      </c>
      <c r="F453" t="s">
        <v>1796</v>
      </c>
      <c r="G453" t="s">
        <v>56</v>
      </c>
      <c r="H453" t="s">
        <v>237</v>
      </c>
      <c r="I453" t="s">
        <v>238</v>
      </c>
      <c r="J453" t="s">
        <v>59</v>
      </c>
      <c r="L453" t="s">
        <v>699</v>
      </c>
      <c r="M453" t="s">
        <v>63</v>
      </c>
      <c r="N453" t="s">
        <v>63</v>
      </c>
      <c r="O453" t="s">
        <v>1804</v>
      </c>
      <c r="P453" t="s">
        <v>1805</v>
      </c>
      <c r="Q453" s="5">
        <v>2</v>
      </c>
      <c r="R453" s="6">
        <v>324</v>
      </c>
      <c r="S453" s="6">
        <v>648</v>
      </c>
      <c r="T453" s="6">
        <v>235.52</v>
      </c>
      <c r="U453" s="3">
        <v>46300.208333333343</v>
      </c>
      <c r="W453" t="s">
        <v>1797</v>
      </c>
      <c r="X453" t="s">
        <v>70</v>
      </c>
      <c r="Y453" t="s">
        <v>68</v>
      </c>
      <c r="Z453" t="s">
        <v>1798</v>
      </c>
      <c r="AA453" t="s">
        <v>522</v>
      </c>
      <c r="AB453" t="s">
        <v>67</v>
      </c>
      <c r="AC453" t="s">
        <v>70</v>
      </c>
      <c r="AD453" t="s">
        <v>71</v>
      </c>
      <c r="AE453" t="s">
        <v>220</v>
      </c>
      <c r="AF453" t="s">
        <v>67</v>
      </c>
      <c r="AG453" t="s">
        <v>1806</v>
      </c>
      <c r="AH453" t="b">
        <v>0</v>
      </c>
      <c r="AI453" t="b">
        <v>0</v>
      </c>
      <c r="AJ453" t="b">
        <v>0</v>
      </c>
      <c r="AK453" t="b">
        <v>1</v>
      </c>
      <c r="AL453" s="6">
        <v>117.76</v>
      </c>
      <c r="AM453" s="3">
        <v>46300.208333333343</v>
      </c>
      <c r="AN453">
        <v>1</v>
      </c>
      <c r="AO453" s="3"/>
      <c r="AT453" t="b">
        <v>0</v>
      </c>
      <c r="AU453" t="s">
        <v>74</v>
      </c>
      <c r="AV453" t="b">
        <v>1</v>
      </c>
      <c r="AW453" t="b">
        <v>0</v>
      </c>
      <c r="AX453" s="5">
        <v>0</v>
      </c>
      <c r="AY453" s="3"/>
      <c r="AZ453" t="s">
        <v>67</v>
      </c>
      <c r="BA453" t="s">
        <v>67</v>
      </c>
      <c r="BB453" t="s">
        <v>317</v>
      </c>
    </row>
    <row r="454" spans="1:54" x14ac:dyDescent="0.3">
      <c r="A454">
        <v>1</v>
      </c>
      <c r="B454">
        <v>15</v>
      </c>
      <c r="C454" t="s">
        <v>54</v>
      </c>
      <c r="D454" s="3">
        <v>46029.426168981481</v>
      </c>
      <c r="E454" s="8">
        <v>46066</v>
      </c>
      <c r="F454" t="s">
        <v>1796</v>
      </c>
      <c r="G454" t="s">
        <v>56</v>
      </c>
      <c r="H454" t="s">
        <v>237</v>
      </c>
      <c r="I454" t="s">
        <v>238</v>
      </c>
      <c r="J454" t="s">
        <v>59</v>
      </c>
      <c r="L454" t="s">
        <v>699</v>
      </c>
      <c r="M454" t="s">
        <v>63</v>
      </c>
      <c r="N454" t="s">
        <v>63</v>
      </c>
      <c r="O454" t="s">
        <v>933</v>
      </c>
      <c r="P454" t="s">
        <v>934</v>
      </c>
      <c r="Q454" s="5">
        <v>2</v>
      </c>
      <c r="R454" s="6">
        <v>324</v>
      </c>
      <c r="S454" s="6">
        <v>648</v>
      </c>
      <c r="T454" s="6">
        <v>235.52</v>
      </c>
      <c r="U454" s="3">
        <v>46300.208333333343</v>
      </c>
      <c r="W454" t="s">
        <v>1797</v>
      </c>
      <c r="X454" t="s">
        <v>70</v>
      </c>
      <c r="Y454" t="s">
        <v>68</v>
      </c>
      <c r="Z454" t="s">
        <v>1798</v>
      </c>
      <c r="AA454" t="s">
        <v>522</v>
      </c>
      <c r="AB454" t="s">
        <v>67</v>
      </c>
      <c r="AC454" t="s">
        <v>70</v>
      </c>
      <c r="AD454" t="s">
        <v>71</v>
      </c>
      <c r="AE454" t="s">
        <v>220</v>
      </c>
      <c r="AF454" t="s">
        <v>67</v>
      </c>
      <c r="AG454" t="s">
        <v>935</v>
      </c>
      <c r="AH454" t="b">
        <v>0</v>
      </c>
      <c r="AI454" t="b">
        <v>0</v>
      </c>
      <c r="AJ454" t="b">
        <v>0</v>
      </c>
      <c r="AK454" t="b">
        <v>1</v>
      </c>
      <c r="AL454" s="6">
        <v>117.76</v>
      </c>
      <c r="AM454" s="3">
        <v>46300.208333333343</v>
      </c>
      <c r="AN454">
        <v>0</v>
      </c>
      <c r="AO454" s="3"/>
      <c r="AT454" t="b">
        <v>0</v>
      </c>
      <c r="AU454" t="s">
        <v>74</v>
      </c>
      <c r="AV454" t="b">
        <v>1</v>
      </c>
      <c r="AW454" t="b">
        <v>0</v>
      </c>
      <c r="AX454" s="5">
        <v>0</v>
      </c>
      <c r="AY454" s="3"/>
      <c r="AZ454" t="s">
        <v>67</v>
      </c>
      <c r="BA454" t="s">
        <v>67</v>
      </c>
      <c r="BB454" t="s">
        <v>317</v>
      </c>
    </row>
    <row r="455" spans="1:54" x14ac:dyDescent="0.3">
      <c r="A455">
        <v>1</v>
      </c>
      <c r="B455">
        <v>15</v>
      </c>
      <c r="C455" t="s">
        <v>54</v>
      </c>
      <c r="D455" s="3">
        <v>46029.426168981481</v>
      </c>
      <c r="E455" s="8">
        <v>46066</v>
      </c>
      <c r="F455" t="s">
        <v>1796</v>
      </c>
      <c r="G455" t="s">
        <v>56</v>
      </c>
      <c r="H455" t="s">
        <v>237</v>
      </c>
      <c r="I455" t="s">
        <v>238</v>
      </c>
      <c r="J455" t="s">
        <v>59</v>
      </c>
      <c r="L455" t="s">
        <v>699</v>
      </c>
      <c r="M455" t="s">
        <v>63</v>
      </c>
      <c r="N455" t="s">
        <v>63</v>
      </c>
      <c r="O455" t="s">
        <v>933</v>
      </c>
      <c r="P455" t="s">
        <v>934</v>
      </c>
      <c r="Q455" s="5">
        <v>2</v>
      </c>
      <c r="R455" s="6">
        <v>324</v>
      </c>
      <c r="S455" s="6">
        <v>648</v>
      </c>
      <c r="T455" s="6">
        <v>235.52</v>
      </c>
      <c r="U455" s="3">
        <v>46300.208333333343</v>
      </c>
      <c r="W455" t="s">
        <v>1797</v>
      </c>
      <c r="X455" t="s">
        <v>70</v>
      </c>
      <c r="Y455" t="s">
        <v>68</v>
      </c>
      <c r="Z455" t="s">
        <v>1798</v>
      </c>
      <c r="AA455" t="s">
        <v>522</v>
      </c>
      <c r="AB455" t="s">
        <v>67</v>
      </c>
      <c r="AC455" t="s">
        <v>70</v>
      </c>
      <c r="AD455" t="s">
        <v>71</v>
      </c>
      <c r="AE455" t="s">
        <v>220</v>
      </c>
      <c r="AF455" t="s">
        <v>67</v>
      </c>
      <c r="AG455" t="s">
        <v>935</v>
      </c>
      <c r="AH455" t="b">
        <v>0</v>
      </c>
      <c r="AI455" t="b">
        <v>0</v>
      </c>
      <c r="AJ455" t="b">
        <v>0</v>
      </c>
      <c r="AK455" t="b">
        <v>1</v>
      </c>
      <c r="AL455" s="6">
        <v>117.76</v>
      </c>
      <c r="AM455" s="3">
        <v>46300.208333333343</v>
      </c>
      <c r="AN455">
        <v>1</v>
      </c>
      <c r="AO455" s="3"/>
      <c r="AT455" t="b">
        <v>0</v>
      </c>
      <c r="AU455" t="s">
        <v>74</v>
      </c>
      <c r="AV455" t="b">
        <v>1</v>
      </c>
      <c r="AW455" t="b">
        <v>0</v>
      </c>
      <c r="AX455" s="5">
        <v>0</v>
      </c>
      <c r="AY455" s="3"/>
      <c r="AZ455" t="s">
        <v>67</v>
      </c>
      <c r="BA455" t="s">
        <v>67</v>
      </c>
      <c r="BB455" t="s">
        <v>317</v>
      </c>
    </row>
    <row r="456" spans="1:54" x14ac:dyDescent="0.3">
      <c r="A456">
        <v>1</v>
      </c>
      <c r="B456">
        <v>15</v>
      </c>
      <c r="C456" t="s">
        <v>54</v>
      </c>
      <c r="D456" s="3">
        <v>46029.426168981481</v>
      </c>
      <c r="E456" s="8">
        <v>46066</v>
      </c>
      <c r="F456" t="s">
        <v>1796</v>
      </c>
      <c r="G456" t="s">
        <v>56</v>
      </c>
      <c r="H456" t="s">
        <v>237</v>
      </c>
      <c r="I456" t="s">
        <v>238</v>
      </c>
      <c r="J456" t="s">
        <v>59</v>
      </c>
      <c r="L456" t="s">
        <v>699</v>
      </c>
      <c r="M456" t="s">
        <v>63</v>
      </c>
      <c r="N456" t="s">
        <v>63</v>
      </c>
      <c r="O456" t="s">
        <v>936</v>
      </c>
      <c r="P456" t="s">
        <v>937</v>
      </c>
      <c r="Q456" s="5">
        <v>4</v>
      </c>
      <c r="R456" s="6">
        <v>71</v>
      </c>
      <c r="S456" s="6">
        <v>284</v>
      </c>
      <c r="T456" s="6">
        <v>103.04</v>
      </c>
      <c r="U456" s="3">
        <v>46300.208333333343</v>
      </c>
      <c r="W456" t="s">
        <v>1797</v>
      </c>
      <c r="X456" t="s">
        <v>70</v>
      </c>
      <c r="Y456" t="s">
        <v>68</v>
      </c>
      <c r="Z456" t="s">
        <v>1798</v>
      </c>
      <c r="AA456" t="s">
        <v>522</v>
      </c>
      <c r="AB456" t="s">
        <v>67</v>
      </c>
      <c r="AC456" t="s">
        <v>70</v>
      </c>
      <c r="AD456" t="s">
        <v>71</v>
      </c>
      <c r="AE456" t="s">
        <v>220</v>
      </c>
      <c r="AF456" t="s">
        <v>67</v>
      </c>
      <c r="AG456" t="s">
        <v>938</v>
      </c>
      <c r="AH456" t="b">
        <v>0</v>
      </c>
      <c r="AI456" t="b">
        <v>0</v>
      </c>
      <c r="AJ456" t="b">
        <v>0</v>
      </c>
      <c r="AK456" t="b">
        <v>1</v>
      </c>
      <c r="AL456" s="6">
        <v>25.76</v>
      </c>
      <c r="AM456" s="3">
        <v>46300.208333333343</v>
      </c>
      <c r="AN456">
        <v>0</v>
      </c>
      <c r="AO456" s="3"/>
      <c r="AT456" t="b">
        <v>0</v>
      </c>
      <c r="AU456" t="s">
        <v>74</v>
      </c>
      <c r="AV456" t="b">
        <v>1</v>
      </c>
      <c r="AW456" t="b">
        <v>0</v>
      </c>
      <c r="AX456" s="5">
        <v>0</v>
      </c>
      <c r="AY456" s="3"/>
      <c r="AZ456" t="s">
        <v>67</v>
      </c>
      <c r="BA456" t="s">
        <v>67</v>
      </c>
      <c r="BB456" t="s">
        <v>317</v>
      </c>
    </row>
    <row r="457" spans="1:54" x14ac:dyDescent="0.3">
      <c r="A457">
        <v>1</v>
      </c>
      <c r="B457">
        <v>15</v>
      </c>
      <c r="C457" t="s">
        <v>54</v>
      </c>
      <c r="D457" s="3">
        <v>46029.426168981481</v>
      </c>
      <c r="E457" s="8">
        <v>46066</v>
      </c>
      <c r="F457" t="s">
        <v>1796</v>
      </c>
      <c r="G457" t="s">
        <v>56</v>
      </c>
      <c r="H457" t="s">
        <v>237</v>
      </c>
      <c r="I457" t="s">
        <v>238</v>
      </c>
      <c r="J457" t="s">
        <v>59</v>
      </c>
      <c r="L457" t="s">
        <v>699</v>
      </c>
      <c r="M457" t="s">
        <v>63</v>
      </c>
      <c r="N457" t="s">
        <v>63</v>
      </c>
      <c r="O457" t="s">
        <v>936</v>
      </c>
      <c r="P457" t="s">
        <v>937</v>
      </c>
      <c r="Q457" s="5">
        <v>4</v>
      </c>
      <c r="R457" s="6">
        <v>71</v>
      </c>
      <c r="S457" s="6">
        <v>284</v>
      </c>
      <c r="T457" s="6">
        <v>103.04</v>
      </c>
      <c r="U457" s="3">
        <v>46300.208333333343</v>
      </c>
      <c r="W457" t="s">
        <v>1797</v>
      </c>
      <c r="X457" t="s">
        <v>70</v>
      </c>
      <c r="Y457" t="s">
        <v>68</v>
      </c>
      <c r="Z457" t="s">
        <v>1798</v>
      </c>
      <c r="AA457" t="s">
        <v>522</v>
      </c>
      <c r="AB457" t="s">
        <v>67</v>
      </c>
      <c r="AC457" t="s">
        <v>70</v>
      </c>
      <c r="AD457" t="s">
        <v>71</v>
      </c>
      <c r="AE457" t="s">
        <v>220</v>
      </c>
      <c r="AF457" t="s">
        <v>67</v>
      </c>
      <c r="AG457" t="s">
        <v>938</v>
      </c>
      <c r="AH457" t="b">
        <v>0</v>
      </c>
      <c r="AI457" t="b">
        <v>0</v>
      </c>
      <c r="AJ457" t="b">
        <v>0</v>
      </c>
      <c r="AK457" t="b">
        <v>1</v>
      </c>
      <c r="AL457" s="6">
        <v>25.76</v>
      </c>
      <c r="AM457" s="3">
        <v>46300.208333333343</v>
      </c>
      <c r="AN457">
        <v>1</v>
      </c>
      <c r="AO457" s="3"/>
      <c r="AT457" t="b">
        <v>0</v>
      </c>
      <c r="AU457" t="s">
        <v>74</v>
      </c>
      <c r="AV457" t="b">
        <v>1</v>
      </c>
      <c r="AW457" t="b">
        <v>0</v>
      </c>
      <c r="AX457" s="5">
        <v>0</v>
      </c>
      <c r="AY457" s="3"/>
      <c r="AZ457" t="s">
        <v>67</v>
      </c>
      <c r="BA457" t="s">
        <v>67</v>
      </c>
      <c r="BB457" t="s">
        <v>317</v>
      </c>
    </row>
    <row r="458" spans="1:54" x14ac:dyDescent="0.3">
      <c r="A458">
        <v>1</v>
      </c>
      <c r="B458">
        <v>15</v>
      </c>
      <c r="C458" t="s">
        <v>54</v>
      </c>
      <c r="D458" s="3">
        <v>46029.426168981481</v>
      </c>
      <c r="E458" s="8">
        <v>46066</v>
      </c>
      <c r="F458" t="s">
        <v>1796</v>
      </c>
      <c r="G458" t="s">
        <v>56</v>
      </c>
      <c r="H458" t="s">
        <v>237</v>
      </c>
      <c r="I458" t="s">
        <v>238</v>
      </c>
      <c r="J458" t="s">
        <v>59</v>
      </c>
      <c r="L458" t="s">
        <v>699</v>
      </c>
      <c r="M458" t="s">
        <v>63</v>
      </c>
      <c r="N458" t="s">
        <v>63</v>
      </c>
      <c r="O458" t="s">
        <v>1807</v>
      </c>
      <c r="P458" t="s">
        <v>1808</v>
      </c>
      <c r="Q458" s="5">
        <v>8</v>
      </c>
      <c r="R458" s="6">
        <v>38</v>
      </c>
      <c r="S458" s="6">
        <v>304</v>
      </c>
      <c r="T458" s="6">
        <v>110.4</v>
      </c>
      <c r="U458" s="3">
        <v>46300.208333333343</v>
      </c>
      <c r="W458" t="s">
        <v>1797</v>
      </c>
      <c r="X458" t="s">
        <v>70</v>
      </c>
      <c r="Y458" t="s">
        <v>68</v>
      </c>
      <c r="Z458" t="s">
        <v>1798</v>
      </c>
      <c r="AA458" t="s">
        <v>522</v>
      </c>
      <c r="AB458" t="s">
        <v>67</v>
      </c>
      <c r="AC458" t="s">
        <v>70</v>
      </c>
      <c r="AD458" t="s">
        <v>71</v>
      </c>
      <c r="AE458" t="s">
        <v>220</v>
      </c>
      <c r="AF458" t="s">
        <v>67</v>
      </c>
      <c r="AG458" t="s">
        <v>1809</v>
      </c>
      <c r="AH458" t="b">
        <v>0</v>
      </c>
      <c r="AI458" t="b">
        <v>0</v>
      </c>
      <c r="AJ458" t="b">
        <v>0</v>
      </c>
      <c r="AK458" t="b">
        <v>1</v>
      </c>
      <c r="AL458" s="6">
        <v>13.8</v>
      </c>
      <c r="AM458" s="3">
        <v>46300.208333333343</v>
      </c>
      <c r="AN458">
        <v>0</v>
      </c>
      <c r="AO458" s="3"/>
      <c r="AT458" t="b">
        <v>0</v>
      </c>
      <c r="AU458" t="s">
        <v>74</v>
      </c>
      <c r="AV458" t="b">
        <v>1</v>
      </c>
      <c r="AW458" t="b">
        <v>0</v>
      </c>
      <c r="AX458" s="5">
        <v>0</v>
      </c>
      <c r="AY458" s="3"/>
      <c r="AZ458" t="s">
        <v>67</v>
      </c>
      <c r="BA458" t="s">
        <v>67</v>
      </c>
      <c r="BB458" t="s">
        <v>317</v>
      </c>
    </row>
    <row r="459" spans="1:54" x14ac:dyDescent="0.3">
      <c r="A459">
        <v>1</v>
      </c>
      <c r="B459">
        <v>15</v>
      </c>
      <c r="C459" t="s">
        <v>54</v>
      </c>
      <c r="D459" s="3">
        <v>46029.426168981481</v>
      </c>
      <c r="E459" s="8">
        <v>46066</v>
      </c>
      <c r="F459" t="s">
        <v>1796</v>
      </c>
      <c r="G459" t="s">
        <v>56</v>
      </c>
      <c r="H459" t="s">
        <v>237</v>
      </c>
      <c r="I459" t="s">
        <v>238</v>
      </c>
      <c r="J459" t="s">
        <v>59</v>
      </c>
      <c r="L459" t="s">
        <v>699</v>
      </c>
      <c r="M459" t="s">
        <v>63</v>
      </c>
      <c r="N459" t="s">
        <v>63</v>
      </c>
      <c r="O459" t="s">
        <v>1807</v>
      </c>
      <c r="P459" t="s">
        <v>1808</v>
      </c>
      <c r="Q459" s="5">
        <v>8</v>
      </c>
      <c r="R459" s="6">
        <v>38</v>
      </c>
      <c r="S459" s="6">
        <v>304</v>
      </c>
      <c r="T459" s="6">
        <v>110.4</v>
      </c>
      <c r="U459" s="3">
        <v>46300.208333333343</v>
      </c>
      <c r="W459" t="s">
        <v>1797</v>
      </c>
      <c r="X459" t="s">
        <v>70</v>
      </c>
      <c r="Y459" t="s">
        <v>68</v>
      </c>
      <c r="Z459" t="s">
        <v>1798</v>
      </c>
      <c r="AA459" t="s">
        <v>522</v>
      </c>
      <c r="AB459" t="s">
        <v>67</v>
      </c>
      <c r="AC459" t="s">
        <v>70</v>
      </c>
      <c r="AD459" t="s">
        <v>71</v>
      </c>
      <c r="AE459" t="s">
        <v>220</v>
      </c>
      <c r="AF459" t="s">
        <v>67</v>
      </c>
      <c r="AG459" t="s">
        <v>1809</v>
      </c>
      <c r="AH459" t="b">
        <v>0</v>
      </c>
      <c r="AI459" t="b">
        <v>0</v>
      </c>
      <c r="AJ459" t="b">
        <v>0</v>
      </c>
      <c r="AK459" t="b">
        <v>1</v>
      </c>
      <c r="AL459" s="6">
        <v>13.8</v>
      </c>
      <c r="AM459" s="3">
        <v>46300.208333333343</v>
      </c>
      <c r="AN459">
        <v>1</v>
      </c>
      <c r="AO459" s="3"/>
      <c r="AT459" t="b">
        <v>0</v>
      </c>
      <c r="AU459" t="s">
        <v>74</v>
      </c>
      <c r="AV459" t="b">
        <v>1</v>
      </c>
      <c r="AW459" t="b">
        <v>0</v>
      </c>
      <c r="AX459" s="5">
        <v>0</v>
      </c>
      <c r="AY459" s="3"/>
      <c r="AZ459" t="s">
        <v>67</v>
      </c>
      <c r="BA459" t="s">
        <v>67</v>
      </c>
      <c r="BB459" t="s">
        <v>317</v>
      </c>
    </row>
    <row r="460" spans="1:54" x14ac:dyDescent="0.3">
      <c r="A460">
        <v>1</v>
      </c>
      <c r="B460">
        <v>15</v>
      </c>
      <c r="C460" t="s">
        <v>54</v>
      </c>
      <c r="D460" s="3">
        <v>46029.426168981481</v>
      </c>
      <c r="E460" s="8">
        <v>46066</v>
      </c>
      <c r="F460" t="s">
        <v>1796</v>
      </c>
      <c r="G460" t="s">
        <v>56</v>
      </c>
      <c r="H460" t="s">
        <v>237</v>
      </c>
      <c r="I460" t="s">
        <v>238</v>
      </c>
      <c r="J460" t="s">
        <v>59</v>
      </c>
      <c r="L460" t="s">
        <v>699</v>
      </c>
      <c r="M460" t="s">
        <v>63</v>
      </c>
      <c r="N460" t="s">
        <v>63</v>
      </c>
      <c r="O460" t="s">
        <v>218</v>
      </c>
      <c r="P460" t="s">
        <v>219</v>
      </c>
      <c r="Q460" s="5">
        <v>8</v>
      </c>
      <c r="R460" s="6">
        <v>38</v>
      </c>
      <c r="S460" s="6">
        <v>304</v>
      </c>
      <c r="T460" s="6">
        <v>110.4</v>
      </c>
      <c r="U460" s="3">
        <v>46300.208333333343</v>
      </c>
      <c r="W460" t="s">
        <v>1797</v>
      </c>
      <c r="X460" t="s">
        <v>70</v>
      </c>
      <c r="Y460" t="s">
        <v>68</v>
      </c>
      <c r="Z460" t="s">
        <v>1798</v>
      </c>
      <c r="AA460" t="s">
        <v>522</v>
      </c>
      <c r="AB460" t="s">
        <v>67</v>
      </c>
      <c r="AC460" t="s">
        <v>70</v>
      </c>
      <c r="AD460" t="s">
        <v>71</v>
      </c>
      <c r="AE460" t="s">
        <v>220</v>
      </c>
      <c r="AF460" t="s">
        <v>67</v>
      </c>
      <c r="AG460" t="s">
        <v>221</v>
      </c>
      <c r="AH460" t="b">
        <v>0</v>
      </c>
      <c r="AI460" t="b">
        <v>0</v>
      </c>
      <c r="AJ460" t="b">
        <v>0</v>
      </c>
      <c r="AK460" t="b">
        <v>1</v>
      </c>
      <c r="AL460" s="6">
        <v>13.8</v>
      </c>
      <c r="AM460" s="3">
        <v>46300.208333333343</v>
      </c>
      <c r="AN460">
        <v>0</v>
      </c>
      <c r="AO460" s="3"/>
      <c r="AT460" t="b">
        <v>0</v>
      </c>
      <c r="AU460" t="s">
        <v>74</v>
      </c>
      <c r="AV460" t="b">
        <v>1</v>
      </c>
      <c r="AW460" t="b">
        <v>0</v>
      </c>
      <c r="AX460" s="5">
        <v>0</v>
      </c>
      <c r="AY460" s="3"/>
      <c r="AZ460" t="s">
        <v>67</v>
      </c>
      <c r="BA460" t="s">
        <v>67</v>
      </c>
      <c r="BB460" t="s">
        <v>317</v>
      </c>
    </row>
    <row r="461" spans="1:54" x14ac:dyDescent="0.3">
      <c r="A461">
        <v>1</v>
      </c>
      <c r="B461">
        <v>15</v>
      </c>
      <c r="C461" t="s">
        <v>54</v>
      </c>
      <c r="D461" s="3">
        <v>46029.426168981481</v>
      </c>
      <c r="E461" s="8">
        <v>46066</v>
      </c>
      <c r="F461" t="s">
        <v>1796</v>
      </c>
      <c r="G461" t="s">
        <v>56</v>
      </c>
      <c r="H461" t="s">
        <v>237</v>
      </c>
      <c r="I461" t="s">
        <v>238</v>
      </c>
      <c r="J461" t="s">
        <v>59</v>
      </c>
      <c r="L461" t="s">
        <v>699</v>
      </c>
      <c r="M461" t="s">
        <v>63</v>
      </c>
      <c r="N461" t="s">
        <v>63</v>
      </c>
      <c r="O461" t="s">
        <v>218</v>
      </c>
      <c r="P461" t="s">
        <v>219</v>
      </c>
      <c r="Q461" s="5">
        <v>8</v>
      </c>
      <c r="R461" s="6">
        <v>38</v>
      </c>
      <c r="S461" s="6">
        <v>304</v>
      </c>
      <c r="T461" s="6">
        <v>110.4</v>
      </c>
      <c r="U461" s="3">
        <v>46300.208333333343</v>
      </c>
      <c r="W461" t="s">
        <v>1797</v>
      </c>
      <c r="X461" t="s">
        <v>70</v>
      </c>
      <c r="Y461" t="s">
        <v>68</v>
      </c>
      <c r="Z461" t="s">
        <v>1798</v>
      </c>
      <c r="AA461" t="s">
        <v>522</v>
      </c>
      <c r="AB461" t="s">
        <v>67</v>
      </c>
      <c r="AC461" t="s">
        <v>70</v>
      </c>
      <c r="AD461" t="s">
        <v>71</v>
      </c>
      <c r="AE461" t="s">
        <v>220</v>
      </c>
      <c r="AF461" t="s">
        <v>67</v>
      </c>
      <c r="AG461" t="s">
        <v>221</v>
      </c>
      <c r="AH461" t="b">
        <v>0</v>
      </c>
      <c r="AI461" t="b">
        <v>0</v>
      </c>
      <c r="AJ461" t="b">
        <v>0</v>
      </c>
      <c r="AK461" t="b">
        <v>1</v>
      </c>
      <c r="AL461" s="6">
        <v>13.8</v>
      </c>
      <c r="AM461" s="3">
        <v>46300.208333333343</v>
      </c>
      <c r="AN461">
        <v>1</v>
      </c>
      <c r="AO461" s="3"/>
      <c r="AT461" t="b">
        <v>0</v>
      </c>
      <c r="AU461" t="s">
        <v>74</v>
      </c>
      <c r="AV461" t="b">
        <v>1</v>
      </c>
      <c r="AW461" t="b">
        <v>0</v>
      </c>
      <c r="AX461" s="5">
        <v>0</v>
      </c>
      <c r="AY461" s="3"/>
      <c r="AZ461" t="s">
        <v>67</v>
      </c>
      <c r="BA461" t="s">
        <v>67</v>
      </c>
      <c r="BB461" t="s">
        <v>317</v>
      </c>
    </row>
    <row r="462" spans="1:54" x14ac:dyDescent="0.3">
      <c r="A462">
        <v>1</v>
      </c>
      <c r="B462">
        <v>15</v>
      </c>
      <c r="C462" t="s">
        <v>54</v>
      </c>
      <c r="D462" s="3">
        <v>46029.426168981481</v>
      </c>
      <c r="E462" s="8">
        <v>46066</v>
      </c>
      <c r="F462" t="s">
        <v>1796</v>
      </c>
      <c r="G462" t="s">
        <v>56</v>
      </c>
      <c r="H462" t="s">
        <v>237</v>
      </c>
      <c r="I462" t="s">
        <v>238</v>
      </c>
      <c r="J462" t="s">
        <v>59</v>
      </c>
      <c r="L462" t="s">
        <v>699</v>
      </c>
      <c r="M462" t="s">
        <v>63</v>
      </c>
      <c r="N462" t="s">
        <v>63</v>
      </c>
      <c r="O462" t="s">
        <v>939</v>
      </c>
      <c r="P462" t="s">
        <v>940</v>
      </c>
      <c r="Q462" s="5">
        <v>8</v>
      </c>
      <c r="R462" s="6">
        <v>56</v>
      </c>
      <c r="S462" s="6">
        <v>448</v>
      </c>
      <c r="T462" s="6">
        <v>161.91999999999999</v>
      </c>
      <c r="U462" s="3">
        <v>46300.208333333343</v>
      </c>
      <c r="W462" t="s">
        <v>1797</v>
      </c>
      <c r="X462" t="s">
        <v>70</v>
      </c>
      <c r="Y462" t="s">
        <v>68</v>
      </c>
      <c r="Z462" t="s">
        <v>1798</v>
      </c>
      <c r="AA462" t="s">
        <v>522</v>
      </c>
      <c r="AB462" t="s">
        <v>67</v>
      </c>
      <c r="AC462" t="s">
        <v>70</v>
      </c>
      <c r="AD462" t="s">
        <v>71</v>
      </c>
      <c r="AE462" t="s">
        <v>220</v>
      </c>
      <c r="AF462" t="s">
        <v>67</v>
      </c>
      <c r="AG462" t="s">
        <v>941</v>
      </c>
      <c r="AH462" t="b">
        <v>0</v>
      </c>
      <c r="AI462" t="b">
        <v>0</v>
      </c>
      <c r="AJ462" t="b">
        <v>0</v>
      </c>
      <c r="AK462" t="b">
        <v>1</v>
      </c>
      <c r="AL462" s="6">
        <v>20.239999999999998</v>
      </c>
      <c r="AM462" s="3">
        <v>46300.208333333343</v>
      </c>
      <c r="AN462">
        <v>0</v>
      </c>
      <c r="AO462" s="3"/>
      <c r="AT462" t="b">
        <v>0</v>
      </c>
      <c r="AU462" t="s">
        <v>74</v>
      </c>
      <c r="AV462" t="b">
        <v>1</v>
      </c>
      <c r="AW462" t="b">
        <v>0</v>
      </c>
      <c r="AX462" s="5">
        <v>0</v>
      </c>
      <c r="AY462" s="3"/>
      <c r="AZ462" t="s">
        <v>67</v>
      </c>
      <c r="BA462" t="s">
        <v>67</v>
      </c>
      <c r="BB462" t="s">
        <v>317</v>
      </c>
    </row>
    <row r="463" spans="1:54" x14ac:dyDescent="0.3">
      <c r="A463">
        <v>1</v>
      </c>
      <c r="B463">
        <v>15</v>
      </c>
      <c r="C463" t="s">
        <v>54</v>
      </c>
      <c r="D463" s="3">
        <v>46029.426168981481</v>
      </c>
      <c r="E463" s="8">
        <v>46066</v>
      </c>
      <c r="F463" t="s">
        <v>1796</v>
      </c>
      <c r="G463" t="s">
        <v>56</v>
      </c>
      <c r="H463" t="s">
        <v>237</v>
      </c>
      <c r="I463" t="s">
        <v>238</v>
      </c>
      <c r="J463" t="s">
        <v>59</v>
      </c>
      <c r="L463" t="s">
        <v>699</v>
      </c>
      <c r="M463" t="s">
        <v>63</v>
      </c>
      <c r="N463" t="s">
        <v>63</v>
      </c>
      <c r="O463" t="s">
        <v>939</v>
      </c>
      <c r="P463" t="s">
        <v>940</v>
      </c>
      <c r="Q463" s="5">
        <v>8</v>
      </c>
      <c r="R463" s="6">
        <v>56</v>
      </c>
      <c r="S463" s="6">
        <v>448</v>
      </c>
      <c r="T463" s="6">
        <v>161.91999999999999</v>
      </c>
      <c r="U463" s="3">
        <v>46300.208333333343</v>
      </c>
      <c r="W463" t="s">
        <v>1797</v>
      </c>
      <c r="X463" t="s">
        <v>70</v>
      </c>
      <c r="Y463" t="s">
        <v>68</v>
      </c>
      <c r="Z463" t="s">
        <v>1798</v>
      </c>
      <c r="AA463" t="s">
        <v>522</v>
      </c>
      <c r="AB463" t="s">
        <v>67</v>
      </c>
      <c r="AC463" t="s">
        <v>70</v>
      </c>
      <c r="AD463" t="s">
        <v>71</v>
      </c>
      <c r="AE463" t="s">
        <v>220</v>
      </c>
      <c r="AF463" t="s">
        <v>67</v>
      </c>
      <c r="AG463" t="s">
        <v>941</v>
      </c>
      <c r="AH463" t="b">
        <v>0</v>
      </c>
      <c r="AI463" t="b">
        <v>0</v>
      </c>
      <c r="AJ463" t="b">
        <v>0</v>
      </c>
      <c r="AK463" t="b">
        <v>1</v>
      </c>
      <c r="AL463" s="6">
        <v>20.239999999999998</v>
      </c>
      <c r="AM463" s="3">
        <v>46300.208333333343</v>
      </c>
      <c r="AN463">
        <v>1</v>
      </c>
      <c r="AO463" s="3"/>
      <c r="AT463" t="b">
        <v>0</v>
      </c>
      <c r="AU463" t="s">
        <v>74</v>
      </c>
      <c r="AV463" t="b">
        <v>1</v>
      </c>
      <c r="AW463" t="b">
        <v>0</v>
      </c>
      <c r="AX463" s="5">
        <v>0</v>
      </c>
      <c r="AY463" s="3"/>
      <c r="AZ463" t="s">
        <v>67</v>
      </c>
      <c r="BA463" t="s">
        <v>67</v>
      </c>
      <c r="BB463" t="s">
        <v>317</v>
      </c>
    </row>
    <row r="464" spans="1:54" x14ac:dyDescent="0.3">
      <c r="A464">
        <v>1</v>
      </c>
      <c r="B464">
        <v>15</v>
      </c>
      <c r="C464" t="s">
        <v>54</v>
      </c>
      <c r="D464" s="3">
        <v>46029.426168981481</v>
      </c>
      <c r="E464" s="8">
        <v>46066</v>
      </c>
      <c r="F464" t="s">
        <v>1796</v>
      </c>
      <c r="G464" t="s">
        <v>56</v>
      </c>
      <c r="H464" t="s">
        <v>237</v>
      </c>
      <c r="I464" t="s">
        <v>238</v>
      </c>
      <c r="J464" t="s">
        <v>59</v>
      </c>
      <c r="L464" t="s">
        <v>699</v>
      </c>
      <c r="M464" t="s">
        <v>63</v>
      </c>
      <c r="N464" t="s">
        <v>63</v>
      </c>
      <c r="O464" t="s">
        <v>295</v>
      </c>
      <c r="P464" t="s">
        <v>296</v>
      </c>
      <c r="Q464" s="5">
        <v>8</v>
      </c>
      <c r="R464" s="6">
        <v>61</v>
      </c>
      <c r="S464" s="6">
        <v>488</v>
      </c>
      <c r="T464" s="6">
        <v>176.64</v>
      </c>
      <c r="U464" s="3">
        <v>46300.208333333343</v>
      </c>
      <c r="W464" t="s">
        <v>1797</v>
      </c>
      <c r="X464" t="s">
        <v>70</v>
      </c>
      <c r="Y464" t="s">
        <v>68</v>
      </c>
      <c r="Z464" t="s">
        <v>1798</v>
      </c>
      <c r="AA464" t="s">
        <v>522</v>
      </c>
      <c r="AB464" t="s">
        <v>67</v>
      </c>
      <c r="AC464" t="s">
        <v>70</v>
      </c>
      <c r="AD464" t="s">
        <v>71</v>
      </c>
      <c r="AE464" t="s">
        <v>220</v>
      </c>
      <c r="AF464" t="s">
        <v>67</v>
      </c>
      <c r="AG464" t="s">
        <v>297</v>
      </c>
      <c r="AH464" t="b">
        <v>0</v>
      </c>
      <c r="AI464" t="b">
        <v>0</v>
      </c>
      <c r="AJ464" t="b">
        <v>0</v>
      </c>
      <c r="AK464" t="b">
        <v>1</v>
      </c>
      <c r="AL464" s="6">
        <v>22.08</v>
      </c>
      <c r="AM464" s="3">
        <v>46300.208333333343</v>
      </c>
      <c r="AN464">
        <v>0</v>
      </c>
      <c r="AO464" s="3"/>
      <c r="AT464" t="b">
        <v>0</v>
      </c>
      <c r="AU464" t="s">
        <v>74</v>
      </c>
      <c r="AV464" t="b">
        <v>1</v>
      </c>
      <c r="AW464" t="b">
        <v>0</v>
      </c>
      <c r="AX464" s="5">
        <v>0</v>
      </c>
      <c r="AY464" s="3"/>
      <c r="AZ464" t="s">
        <v>67</v>
      </c>
      <c r="BA464" t="s">
        <v>67</v>
      </c>
      <c r="BB464" t="s">
        <v>317</v>
      </c>
    </row>
    <row r="465" spans="1:54" x14ac:dyDescent="0.3">
      <c r="A465">
        <v>1</v>
      </c>
      <c r="B465">
        <v>15</v>
      </c>
      <c r="C465" t="s">
        <v>54</v>
      </c>
      <c r="D465" s="3">
        <v>46029.426168981481</v>
      </c>
      <c r="E465" s="8">
        <v>46066</v>
      </c>
      <c r="F465" t="s">
        <v>1796</v>
      </c>
      <c r="G465" t="s">
        <v>56</v>
      </c>
      <c r="H465" t="s">
        <v>237</v>
      </c>
      <c r="I465" t="s">
        <v>238</v>
      </c>
      <c r="J465" t="s">
        <v>59</v>
      </c>
      <c r="L465" t="s">
        <v>699</v>
      </c>
      <c r="M465" t="s">
        <v>63</v>
      </c>
      <c r="N465" t="s">
        <v>63</v>
      </c>
      <c r="O465" t="s">
        <v>295</v>
      </c>
      <c r="P465" t="s">
        <v>296</v>
      </c>
      <c r="Q465" s="5">
        <v>8</v>
      </c>
      <c r="R465" s="6">
        <v>61</v>
      </c>
      <c r="S465" s="6">
        <v>488</v>
      </c>
      <c r="T465" s="6">
        <v>176.64</v>
      </c>
      <c r="U465" s="3">
        <v>46300.208333333343</v>
      </c>
      <c r="W465" t="s">
        <v>1797</v>
      </c>
      <c r="X465" t="s">
        <v>70</v>
      </c>
      <c r="Y465" t="s">
        <v>68</v>
      </c>
      <c r="Z465" t="s">
        <v>1798</v>
      </c>
      <c r="AA465" t="s">
        <v>522</v>
      </c>
      <c r="AB465" t="s">
        <v>67</v>
      </c>
      <c r="AC465" t="s">
        <v>70</v>
      </c>
      <c r="AD465" t="s">
        <v>71</v>
      </c>
      <c r="AE465" t="s">
        <v>220</v>
      </c>
      <c r="AF465" t="s">
        <v>67</v>
      </c>
      <c r="AG465" t="s">
        <v>297</v>
      </c>
      <c r="AH465" t="b">
        <v>0</v>
      </c>
      <c r="AI465" t="b">
        <v>0</v>
      </c>
      <c r="AJ465" t="b">
        <v>0</v>
      </c>
      <c r="AK465" t="b">
        <v>1</v>
      </c>
      <c r="AL465" s="6">
        <v>22.08</v>
      </c>
      <c r="AM465" s="3">
        <v>46300.208333333343</v>
      </c>
      <c r="AN465">
        <v>1</v>
      </c>
      <c r="AO465" s="3"/>
      <c r="AT465" t="b">
        <v>0</v>
      </c>
      <c r="AU465" t="s">
        <v>74</v>
      </c>
      <c r="AV465" t="b">
        <v>1</v>
      </c>
      <c r="AW465" t="b">
        <v>0</v>
      </c>
      <c r="AX465" s="5">
        <v>0</v>
      </c>
      <c r="AY465" s="3"/>
      <c r="AZ465" t="s">
        <v>67</v>
      </c>
      <c r="BA465" t="s">
        <v>67</v>
      </c>
      <c r="BB465" t="s">
        <v>317</v>
      </c>
    </row>
    <row r="466" spans="1:54" x14ac:dyDescent="0.3">
      <c r="A466">
        <v>1</v>
      </c>
      <c r="B466">
        <v>15</v>
      </c>
      <c r="C466" t="s">
        <v>54</v>
      </c>
      <c r="D466" s="3">
        <v>46044.579641203702</v>
      </c>
      <c r="E466" s="8">
        <v>46209</v>
      </c>
      <c r="F466" t="s">
        <v>1810</v>
      </c>
      <c r="G466" t="s">
        <v>56</v>
      </c>
      <c r="H466" t="s">
        <v>1811</v>
      </c>
      <c r="I466" t="s">
        <v>1812</v>
      </c>
      <c r="J466" t="s">
        <v>749</v>
      </c>
      <c r="K466" t="s">
        <v>588</v>
      </c>
      <c r="L466" t="s">
        <v>751</v>
      </c>
      <c r="M466" t="s">
        <v>97</v>
      </c>
      <c r="N466" t="s">
        <v>97</v>
      </c>
      <c r="O466" t="s">
        <v>1072</v>
      </c>
      <c r="P466" t="s">
        <v>1073</v>
      </c>
      <c r="Q466" s="5">
        <v>14</v>
      </c>
      <c r="R466" s="6">
        <v>727</v>
      </c>
      <c r="S466" s="6">
        <v>10178</v>
      </c>
      <c r="T466" s="6">
        <v>6356</v>
      </c>
      <c r="U466" s="3">
        <v>46270.291666666657</v>
      </c>
      <c r="W466" t="s">
        <v>1813</v>
      </c>
      <c r="X466" t="s">
        <v>70</v>
      </c>
      <c r="Y466" t="s">
        <v>23</v>
      </c>
      <c r="Z466" t="s">
        <v>69</v>
      </c>
      <c r="AA466" t="s">
        <v>69</v>
      </c>
      <c r="AB466" t="s">
        <v>67</v>
      </c>
      <c r="AC466" t="s">
        <v>70</v>
      </c>
      <c r="AD466" t="s">
        <v>101</v>
      </c>
      <c r="AE466" t="s">
        <v>102</v>
      </c>
      <c r="AF466" t="s">
        <v>67</v>
      </c>
      <c r="AH466" t="b">
        <v>0</v>
      </c>
      <c r="AI466" t="b">
        <v>0</v>
      </c>
      <c r="AJ466" t="b">
        <v>0</v>
      </c>
      <c r="AK466" t="b">
        <v>0</v>
      </c>
      <c r="AL466" s="6">
        <v>454</v>
      </c>
      <c r="AM466" s="3">
        <v>46269.270833333343</v>
      </c>
      <c r="AN466">
        <v>1</v>
      </c>
      <c r="AO466" s="3"/>
      <c r="AP466" t="s">
        <v>112</v>
      </c>
      <c r="AQ466" t="s">
        <v>112</v>
      </c>
      <c r="AR466" t="s">
        <v>203</v>
      </c>
      <c r="AS466">
        <v>1</v>
      </c>
      <c r="AT466" t="b">
        <v>0</v>
      </c>
      <c r="AU466" t="s">
        <v>114</v>
      </c>
      <c r="AV466" t="b">
        <v>1</v>
      </c>
      <c r="AW466" t="b">
        <v>0</v>
      </c>
      <c r="AX466" s="5">
        <v>0</v>
      </c>
      <c r="AY466" s="3"/>
      <c r="AZ466" t="s">
        <v>67</v>
      </c>
      <c r="BA466" t="s">
        <v>67</v>
      </c>
      <c r="BB466" t="s">
        <v>997</v>
      </c>
    </row>
    <row r="467" spans="1:54" x14ac:dyDescent="0.3">
      <c r="A467">
        <v>1</v>
      </c>
      <c r="B467">
        <v>15</v>
      </c>
      <c r="C467" t="s">
        <v>54</v>
      </c>
      <c r="D467" s="3">
        <v>46088.391770833332</v>
      </c>
      <c r="E467" s="8">
        <v>46100</v>
      </c>
      <c r="F467" t="s">
        <v>1814</v>
      </c>
      <c r="G467" t="s">
        <v>56</v>
      </c>
      <c r="H467" t="s">
        <v>1456</v>
      </c>
      <c r="I467" t="s">
        <v>1457</v>
      </c>
      <c r="J467" t="s">
        <v>749</v>
      </c>
      <c r="K467" t="s">
        <v>1458</v>
      </c>
      <c r="L467" t="s">
        <v>751</v>
      </c>
      <c r="M467" t="s">
        <v>97</v>
      </c>
      <c r="O467" t="s">
        <v>1072</v>
      </c>
      <c r="P467" t="s">
        <v>1073</v>
      </c>
      <c r="Q467" s="5">
        <v>2</v>
      </c>
      <c r="R467" s="6">
        <v>727</v>
      </c>
      <c r="S467" s="6">
        <v>1454</v>
      </c>
      <c r="T467" s="6">
        <v>908</v>
      </c>
      <c r="U467" s="3">
        <v>46332.229166666657</v>
      </c>
      <c r="W467" t="s">
        <v>1459</v>
      </c>
      <c r="X467" t="s">
        <v>70</v>
      </c>
      <c r="Y467" t="s">
        <v>23</v>
      </c>
      <c r="Z467" t="s">
        <v>69</v>
      </c>
      <c r="AA467" t="s">
        <v>69</v>
      </c>
      <c r="AB467" t="s">
        <v>67</v>
      </c>
      <c r="AC467" t="s">
        <v>70</v>
      </c>
      <c r="AD467" t="s">
        <v>101</v>
      </c>
      <c r="AE467" t="s">
        <v>102</v>
      </c>
      <c r="AF467" t="s">
        <v>67</v>
      </c>
      <c r="AH467" t="b">
        <v>0</v>
      </c>
      <c r="AI467" t="b">
        <v>0</v>
      </c>
      <c r="AJ467" t="b">
        <v>0</v>
      </c>
      <c r="AK467" t="b">
        <v>0</v>
      </c>
      <c r="AL467" s="6">
        <v>454</v>
      </c>
      <c r="AM467" s="3">
        <v>46332.229166666657</v>
      </c>
      <c r="AN467">
        <v>1</v>
      </c>
      <c r="AO467" s="3"/>
      <c r="AP467" t="s">
        <v>112</v>
      </c>
      <c r="AQ467" t="s">
        <v>112</v>
      </c>
      <c r="AR467" t="s">
        <v>203</v>
      </c>
      <c r="AS467">
        <v>1</v>
      </c>
      <c r="AT467" t="b">
        <v>0</v>
      </c>
      <c r="AU467" t="s">
        <v>114</v>
      </c>
      <c r="AV467" t="b">
        <v>1</v>
      </c>
      <c r="AW467" t="b">
        <v>0</v>
      </c>
      <c r="AX467" s="5">
        <v>0</v>
      </c>
      <c r="AY467" s="3"/>
      <c r="AZ467" t="s">
        <v>67</v>
      </c>
      <c r="BA467" t="s">
        <v>67</v>
      </c>
      <c r="BB467" t="s">
        <v>997</v>
      </c>
    </row>
    <row r="468" spans="1:54" x14ac:dyDescent="0.3">
      <c r="A468">
        <v>1</v>
      </c>
      <c r="B468">
        <v>15</v>
      </c>
      <c r="C468" t="s">
        <v>54</v>
      </c>
      <c r="D468" s="3">
        <v>46088.391770833332</v>
      </c>
      <c r="E468" s="8">
        <v>46100</v>
      </c>
      <c r="F468" t="s">
        <v>1814</v>
      </c>
      <c r="G468" t="s">
        <v>56</v>
      </c>
      <c r="H468" t="s">
        <v>1456</v>
      </c>
      <c r="I468" t="s">
        <v>1457</v>
      </c>
      <c r="J468" t="s">
        <v>749</v>
      </c>
      <c r="K468" t="s">
        <v>1458</v>
      </c>
      <c r="L468" t="s">
        <v>751</v>
      </c>
      <c r="M468" t="s">
        <v>97</v>
      </c>
      <c r="O468" t="s">
        <v>752</v>
      </c>
      <c r="P468" t="s">
        <v>753</v>
      </c>
      <c r="Q468" s="5">
        <v>1</v>
      </c>
      <c r="R468" s="6">
        <v>80</v>
      </c>
      <c r="S468" s="6">
        <v>80</v>
      </c>
      <c r="T468" s="6">
        <v>0</v>
      </c>
      <c r="U468" s="3">
        <v>46332.229166666657</v>
      </c>
      <c r="W468" t="s">
        <v>1459</v>
      </c>
      <c r="X468" t="s">
        <v>70</v>
      </c>
      <c r="Y468" t="s">
        <v>23</v>
      </c>
      <c r="Z468" t="s">
        <v>69</v>
      </c>
      <c r="AA468" t="s">
        <v>69</v>
      </c>
      <c r="AB468" t="s">
        <v>67</v>
      </c>
      <c r="AC468" t="s">
        <v>70</v>
      </c>
      <c r="AD468" t="s">
        <v>101</v>
      </c>
      <c r="AE468" t="s">
        <v>102</v>
      </c>
      <c r="AF468" t="s">
        <v>67</v>
      </c>
      <c r="AG468" t="s">
        <v>752</v>
      </c>
      <c r="AH468" t="b">
        <v>0</v>
      </c>
      <c r="AI468" t="b">
        <v>0</v>
      </c>
      <c r="AJ468" t="b">
        <v>0</v>
      </c>
      <c r="AK468" t="b">
        <v>0</v>
      </c>
      <c r="AL468" s="6">
        <v>0</v>
      </c>
      <c r="AM468" s="3">
        <v>46332.229166666657</v>
      </c>
      <c r="AN468">
        <v>1</v>
      </c>
      <c r="AO468" s="3"/>
      <c r="AP468" t="s">
        <v>112</v>
      </c>
      <c r="AQ468" t="s">
        <v>112</v>
      </c>
      <c r="AR468" t="s">
        <v>203</v>
      </c>
      <c r="AS468">
        <v>1</v>
      </c>
      <c r="AT468" t="b">
        <v>0</v>
      </c>
      <c r="AU468" t="s">
        <v>114</v>
      </c>
      <c r="AV468" t="b">
        <v>1</v>
      </c>
      <c r="AW468" t="b">
        <v>0</v>
      </c>
      <c r="AX468" s="5">
        <v>0</v>
      </c>
      <c r="AY468" s="3"/>
      <c r="AZ468" t="s">
        <v>67</v>
      </c>
      <c r="BA468" t="s">
        <v>67</v>
      </c>
      <c r="BB468" t="s">
        <v>997</v>
      </c>
    </row>
    <row r="469" spans="1:54" x14ac:dyDescent="0.3">
      <c r="A469">
        <v>1</v>
      </c>
      <c r="B469">
        <v>15</v>
      </c>
      <c r="C469" t="s">
        <v>54</v>
      </c>
      <c r="D469" s="3">
        <v>46091.485185185193</v>
      </c>
      <c r="E469" s="8">
        <v>46097</v>
      </c>
      <c r="F469" t="s">
        <v>1815</v>
      </c>
      <c r="G469" t="s">
        <v>56</v>
      </c>
      <c r="H469" t="s">
        <v>1816</v>
      </c>
      <c r="I469" t="s">
        <v>1817</v>
      </c>
      <c r="J469" t="s">
        <v>59</v>
      </c>
      <c r="L469" t="s">
        <v>61</v>
      </c>
      <c r="M469" t="s">
        <v>63</v>
      </c>
      <c r="N469" t="s">
        <v>62</v>
      </c>
      <c r="O469" t="s">
        <v>82</v>
      </c>
      <c r="P469" t="s">
        <v>83</v>
      </c>
      <c r="Q469" s="5">
        <v>1</v>
      </c>
      <c r="R469" s="6">
        <v>140</v>
      </c>
      <c r="S469" s="6">
        <v>140</v>
      </c>
      <c r="T469" s="6">
        <v>93.1</v>
      </c>
      <c r="U469" s="3">
        <v>46244.375</v>
      </c>
      <c r="W469" t="s">
        <v>1818</v>
      </c>
      <c r="X469" t="s">
        <v>67</v>
      </c>
      <c r="Y469" t="s">
        <v>68</v>
      </c>
      <c r="Z469" t="s">
        <v>521</v>
      </c>
      <c r="AA469" t="s">
        <v>522</v>
      </c>
      <c r="AB469" t="s">
        <v>67</v>
      </c>
      <c r="AC469" t="s">
        <v>70</v>
      </c>
      <c r="AD469" t="s">
        <v>71</v>
      </c>
      <c r="AE469" t="s">
        <v>84</v>
      </c>
      <c r="AF469" t="s">
        <v>67</v>
      </c>
      <c r="AG469" t="s">
        <v>82</v>
      </c>
      <c r="AH469" t="b">
        <v>0</v>
      </c>
      <c r="AI469" t="b">
        <v>0</v>
      </c>
      <c r="AJ469" t="b">
        <v>0</v>
      </c>
      <c r="AK469" t="b">
        <v>0</v>
      </c>
      <c r="AL469" s="6">
        <v>93.1</v>
      </c>
      <c r="AM469" s="3">
        <v>46244.375</v>
      </c>
      <c r="AN469">
        <v>1</v>
      </c>
      <c r="AO469" s="3"/>
      <c r="AT469" t="b">
        <v>0</v>
      </c>
      <c r="AU469" t="s">
        <v>74</v>
      </c>
      <c r="AV469" t="b">
        <v>1</v>
      </c>
      <c r="AW469" t="b">
        <v>0</v>
      </c>
      <c r="AX469" s="5">
        <v>0</v>
      </c>
      <c r="AY469" s="3"/>
      <c r="AZ469" t="s">
        <v>67</v>
      </c>
      <c r="BA469" t="s">
        <v>67</v>
      </c>
      <c r="BB469" t="s">
        <v>317</v>
      </c>
    </row>
    <row r="470" spans="1:54" x14ac:dyDescent="0.3">
      <c r="A470">
        <v>1</v>
      </c>
      <c r="B470">
        <v>15</v>
      </c>
      <c r="C470" t="s">
        <v>54</v>
      </c>
      <c r="D470" s="3">
        <v>46091.485185185193</v>
      </c>
      <c r="E470" s="8">
        <v>46097</v>
      </c>
      <c r="F470" t="s">
        <v>1815</v>
      </c>
      <c r="G470" t="s">
        <v>56</v>
      </c>
      <c r="H470" t="s">
        <v>1816</v>
      </c>
      <c r="I470" t="s">
        <v>1817</v>
      </c>
      <c r="J470" t="s">
        <v>59</v>
      </c>
      <c r="L470" t="s">
        <v>61</v>
      </c>
      <c r="M470" t="s">
        <v>63</v>
      </c>
      <c r="N470" t="s">
        <v>62</v>
      </c>
      <c r="O470" t="s">
        <v>1016</v>
      </c>
      <c r="P470" t="s">
        <v>1017</v>
      </c>
      <c r="Q470" s="5">
        <v>3</v>
      </c>
      <c r="R470" s="6">
        <v>33</v>
      </c>
      <c r="S470" s="6">
        <v>99</v>
      </c>
      <c r="T470" s="6">
        <v>35.1</v>
      </c>
      <c r="U470" s="3">
        <v>46244.375</v>
      </c>
      <c r="W470" t="s">
        <v>1818</v>
      </c>
      <c r="X470" t="s">
        <v>67</v>
      </c>
      <c r="Y470" t="s">
        <v>68</v>
      </c>
      <c r="Z470" t="s">
        <v>521</v>
      </c>
      <c r="AA470" t="s">
        <v>522</v>
      </c>
      <c r="AB470" t="s">
        <v>67</v>
      </c>
      <c r="AC470" t="s">
        <v>70</v>
      </c>
      <c r="AD470" t="s">
        <v>71</v>
      </c>
      <c r="AE470" t="s">
        <v>77</v>
      </c>
      <c r="AF470" t="s">
        <v>67</v>
      </c>
      <c r="AG470" t="s">
        <v>1018</v>
      </c>
      <c r="AH470" t="b">
        <v>0</v>
      </c>
      <c r="AI470" t="b">
        <v>0</v>
      </c>
      <c r="AJ470" t="b">
        <v>0</v>
      </c>
      <c r="AK470" t="b">
        <v>0</v>
      </c>
      <c r="AL470" s="6">
        <v>11.7</v>
      </c>
      <c r="AM470" s="3">
        <v>46244.375</v>
      </c>
      <c r="AN470">
        <v>1</v>
      </c>
      <c r="AO470" s="3"/>
      <c r="AT470" t="b">
        <v>0</v>
      </c>
      <c r="AU470" t="s">
        <v>74</v>
      </c>
      <c r="AV470" t="b">
        <v>1</v>
      </c>
      <c r="AW470" t="b">
        <v>0</v>
      </c>
      <c r="AX470" s="5">
        <v>0</v>
      </c>
      <c r="AY470" s="3"/>
      <c r="AZ470" t="s">
        <v>67</v>
      </c>
      <c r="BA470" t="s">
        <v>67</v>
      </c>
      <c r="BB470" t="s">
        <v>317</v>
      </c>
    </row>
    <row r="471" spans="1:54" x14ac:dyDescent="0.3">
      <c r="A471">
        <v>1</v>
      </c>
      <c r="B471">
        <v>15</v>
      </c>
      <c r="C471" t="s">
        <v>54</v>
      </c>
      <c r="D471" s="3">
        <v>46091.485185185193</v>
      </c>
      <c r="E471" s="8">
        <v>46097</v>
      </c>
      <c r="F471" t="s">
        <v>1815</v>
      </c>
      <c r="G471" t="s">
        <v>56</v>
      </c>
      <c r="H471" t="s">
        <v>1816</v>
      </c>
      <c r="I471" t="s">
        <v>1817</v>
      </c>
      <c r="J471" t="s">
        <v>59</v>
      </c>
      <c r="L471" t="s">
        <v>61</v>
      </c>
      <c r="M471" t="s">
        <v>63</v>
      </c>
      <c r="N471" t="s">
        <v>62</v>
      </c>
      <c r="O471" t="s">
        <v>172</v>
      </c>
      <c r="P471" t="s">
        <v>173</v>
      </c>
      <c r="Q471" s="5">
        <v>1</v>
      </c>
      <c r="R471" s="6">
        <v>570</v>
      </c>
      <c r="S471" s="6">
        <v>570</v>
      </c>
      <c r="T471" s="6">
        <v>200.25</v>
      </c>
      <c r="U471" s="3">
        <v>46244.375</v>
      </c>
      <c r="W471" t="s">
        <v>1818</v>
      </c>
      <c r="X471" t="s">
        <v>67</v>
      </c>
      <c r="Y471" t="s">
        <v>68</v>
      </c>
      <c r="Z471" t="s">
        <v>521</v>
      </c>
      <c r="AA471" t="s">
        <v>522</v>
      </c>
      <c r="AB471" t="s">
        <v>67</v>
      </c>
      <c r="AC471" t="s">
        <v>70</v>
      </c>
      <c r="AD471" t="s">
        <v>71</v>
      </c>
      <c r="AE471" t="s">
        <v>77</v>
      </c>
      <c r="AF471" t="s">
        <v>67</v>
      </c>
      <c r="AG471" t="s">
        <v>174</v>
      </c>
      <c r="AH471" t="b">
        <v>0</v>
      </c>
      <c r="AI471" t="b">
        <v>0</v>
      </c>
      <c r="AJ471" t="b">
        <v>0</v>
      </c>
      <c r="AK471" t="b">
        <v>0</v>
      </c>
      <c r="AL471" s="6">
        <v>200.25</v>
      </c>
      <c r="AM471" s="3">
        <v>46244.375</v>
      </c>
      <c r="AN471">
        <v>1</v>
      </c>
      <c r="AO471" s="3"/>
      <c r="AT471" t="b">
        <v>0</v>
      </c>
      <c r="AU471" t="s">
        <v>74</v>
      </c>
      <c r="AV471" t="b">
        <v>1</v>
      </c>
      <c r="AW471" t="b">
        <v>0</v>
      </c>
      <c r="AX471" s="5">
        <v>0</v>
      </c>
      <c r="AY471" s="3"/>
      <c r="AZ471" t="s">
        <v>67</v>
      </c>
      <c r="BA471" t="s">
        <v>67</v>
      </c>
      <c r="BB471" t="s">
        <v>317</v>
      </c>
    </row>
    <row r="472" spans="1:54" x14ac:dyDescent="0.3">
      <c r="A472">
        <v>1</v>
      </c>
      <c r="B472">
        <v>15</v>
      </c>
      <c r="C472" t="s">
        <v>54</v>
      </c>
      <c r="D472" s="3">
        <v>46091.485185185193</v>
      </c>
      <c r="E472" s="8">
        <v>46097</v>
      </c>
      <c r="F472" t="s">
        <v>1815</v>
      </c>
      <c r="G472" t="s">
        <v>56</v>
      </c>
      <c r="H472" t="s">
        <v>1816</v>
      </c>
      <c r="I472" t="s">
        <v>1817</v>
      </c>
      <c r="J472" t="s">
        <v>59</v>
      </c>
      <c r="L472" t="s">
        <v>61</v>
      </c>
      <c r="M472" t="s">
        <v>63</v>
      </c>
      <c r="N472" t="s">
        <v>62</v>
      </c>
      <c r="O472" t="s">
        <v>267</v>
      </c>
      <c r="P472" t="s">
        <v>268</v>
      </c>
      <c r="Q472" s="5">
        <v>2</v>
      </c>
      <c r="R472" s="6">
        <v>570</v>
      </c>
      <c r="S472" s="6">
        <v>1140</v>
      </c>
      <c r="T472" s="6">
        <v>400.5</v>
      </c>
      <c r="U472" s="3">
        <v>46244.375</v>
      </c>
      <c r="W472" t="s">
        <v>1818</v>
      </c>
      <c r="X472" t="s">
        <v>67</v>
      </c>
      <c r="Y472" t="s">
        <v>68</v>
      </c>
      <c r="Z472" t="s">
        <v>521</v>
      </c>
      <c r="AA472" t="s">
        <v>522</v>
      </c>
      <c r="AB472" t="s">
        <v>67</v>
      </c>
      <c r="AC472" t="s">
        <v>70</v>
      </c>
      <c r="AD472" t="s">
        <v>71</v>
      </c>
      <c r="AE472" t="s">
        <v>77</v>
      </c>
      <c r="AF472" t="s">
        <v>67</v>
      </c>
      <c r="AG472" t="s">
        <v>269</v>
      </c>
      <c r="AH472" t="b">
        <v>0</v>
      </c>
      <c r="AI472" t="b">
        <v>0</v>
      </c>
      <c r="AJ472" t="b">
        <v>0</v>
      </c>
      <c r="AK472" t="b">
        <v>0</v>
      </c>
      <c r="AL472" s="6">
        <v>200.25</v>
      </c>
      <c r="AM472" s="3">
        <v>46244.375</v>
      </c>
      <c r="AN472">
        <v>1</v>
      </c>
      <c r="AO472" s="3"/>
      <c r="AT472" t="b">
        <v>0</v>
      </c>
      <c r="AU472" t="s">
        <v>74</v>
      </c>
      <c r="AV472" t="b">
        <v>1</v>
      </c>
      <c r="AW472" t="b">
        <v>0</v>
      </c>
      <c r="AX472" s="5">
        <v>0</v>
      </c>
      <c r="AY472" s="3"/>
      <c r="AZ472" t="s">
        <v>67</v>
      </c>
      <c r="BA472" t="s">
        <v>67</v>
      </c>
      <c r="BB472" t="s">
        <v>317</v>
      </c>
    </row>
    <row r="473" spans="1:54" x14ac:dyDescent="0.3">
      <c r="A473">
        <v>1</v>
      </c>
      <c r="B473">
        <v>15</v>
      </c>
      <c r="C473" t="s">
        <v>54</v>
      </c>
      <c r="D473" s="3">
        <v>46091.485185185193</v>
      </c>
      <c r="E473" s="8">
        <v>46097</v>
      </c>
      <c r="F473" t="s">
        <v>1815</v>
      </c>
      <c r="G473" t="s">
        <v>56</v>
      </c>
      <c r="H473" t="s">
        <v>1816</v>
      </c>
      <c r="I473" t="s">
        <v>1817</v>
      </c>
      <c r="J473" t="s">
        <v>59</v>
      </c>
      <c r="L473" t="s">
        <v>61</v>
      </c>
      <c r="M473" t="s">
        <v>63</v>
      </c>
      <c r="N473" t="s">
        <v>62</v>
      </c>
      <c r="O473" t="s">
        <v>64</v>
      </c>
      <c r="P473" t="s">
        <v>65</v>
      </c>
      <c r="Q473" s="5">
        <v>1</v>
      </c>
      <c r="R473" s="6">
        <v>237</v>
      </c>
      <c r="S473" s="6">
        <v>237</v>
      </c>
      <c r="T473" s="6">
        <v>157.5</v>
      </c>
      <c r="U473" s="3">
        <v>46244.375</v>
      </c>
      <c r="W473" t="s">
        <v>1818</v>
      </c>
      <c r="X473" t="s">
        <v>67</v>
      </c>
      <c r="Y473" t="s">
        <v>68</v>
      </c>
      <c r="Z473" t="s">
        <v>521</v>
      </c>
      <c r="AA473" t="s">
        <v>522</v>
      </c>
      <c r="AB473" t="s">
        <v>67</v>
      </c>
      <c r="AC473" t="s">
        <v>70</v>
      </c>
      <c r="AD473" t="s">
        <v>71</v>
      </c>
      <c r="AE473" t="s">
        <v>72</v>
      </c>
      <c r="AF473" t="s">
        <v>67</v>
      </c>
      <c r="AG473" t="s">
        <v>73</v>
      </c>
      <c r="AH473" t="b">
        <v>0</v>
      </c>
      <c r="AI473" t="b">
        <v>0</v>
      </c>
      <c r="AJ473" t="b">
        <v>0</v>
      </c>
      <c r="AK473" t="b">
        <v>0</v>
      </c>
      <c r="AL473" s="6">
        <v>157.5</v>
      </c>
      <c r="AM473" s="3">
        <v>46244.375</v>
      </c>
      <c r="AN473">
        <v>1</v>
      </c>
      <c r="AO473" s="3"/>
      <c r="AT473" t="b">
        <v>0</v>
      </c>
      <c r="AU473" t="s">
        <v>74</v>
      </c>
      <c r="AV473" t="b">
        <v>1</v>
      </c>
      <c r="AW473" t="b">
        <v>0</v>
      </c>
      <c r="AX473" s="5">
        <v>0</v>
      </c>
      <c r="AY473" s="3"/>
      <c r="AZ473" t="s">
        <v>67</v>
      </c>
      <c r="BA473" t="s">
        <v>67</v>
      </c>
      <c r="BB473" t="s">
        <v>317</v>
      </c>
    </row>
    <row r="474" spans="1:54" x14ac:dyDescent="0.3">
      <c r="A474">
        <v>1</v>
      </c>
      <c r="B474">
        <v>15</v>
      </c>
      <c r="C474" t="s">
        <v>54</v>
      </c>
      <c r="D474" s="3">
        <v>46092.61619212963</v>
      </c>
      <c r="E474" s="8">
        <v>46185</v>
      </c>
      <c r="F474" t="s">
        <v>1819</v>
      </c>
      <c r="G474" t="s">
        <v>56</v>
      </c>
      <c r="H474" t="s">
        <v>1820</v>
      </c>
      <c r="I474" t="s">
        <v>1821</v>
      </c>
      <c r="J474" t="s">
        <v>59</v>
      </c>
      <c r="K474" t="s">
        <v>1822</v>
      </c>
      <c r="L474" t="s">
        <v>699</v>
      </c>
      <c r="M474" t="s">
        <v>63</v>
      </c>
      <c r="O474" t="s">
        <v>82</v>
      </c>
      <c r="P474" t="s">
        <v>83</v>
      </c>
      <c r="Q474" s="5">
        <v>1</v>
      </c>
      <c r="R474" s="6">
        <v>140</v>
      </c>
      <c r="S474" s="6">
        <v>140</v>
      </c>
      <c r="T474" s="6">
        <v>93.1</v>
      </c>
      <c r="U474" s="3">
        <v>46305.25</v>
      </c>
      <c r="W474" t="s">
        <v>1823</v>
      </c>
      <c r="X474" t="s">
        <v>67</v>
      </c>
      <c r="Y474" t="s">
        <v>68</v>
      </c>
      <c r="Z474" t="s">
        <v>1824</v>
      </c>
      <c r="AA474" t="s">
        <v>522</v>
      </c>
      <c r="AB474" t="s">
        <v>67</v>
      </c>
      <c r="AC474" t="s">
        <v>70</v>
      </c>
      <c r="AD474" t="s">
        <v>71</v>
      </c>
      <c r="AE474" t="s">
        <v>84</v>
      </c>
      <c r="AF474" t="s">
        <v>67</v>
      </c>
      <c r="AG474" t="s">
        <v>82</v>
      </c>
      <c r="AH474" t="b">
        <v>0</v>
      </c>
      <c r="AI474" t="b">
        <v>0</v>
      </c>
      <c r="AJ474" t="b">
        <v>0</v>
      </c>
      <c r="AK474" t="b">
        <v>0</v>
      </c>
      <c r="AL474" s="6">
        <v>93.1</v>
      </c>
      <c r="AM474" s="3">
        <v>46300.208333333343</v>
      </c>
      <c r="AN474">
        <v>1</v>
      </c>
      <c r="AO474" s="3"/>
      <c r="AT474" t="b">
        <v>0</v>
      </c>
      <c r="AU474" t="s">
        <v>74</v>
      </c>
      <c r="AV474" t="b">
        <v>1</v>
      </c>
      <c r="AW474" t="b">
        <v>0</v>
      </c>
      <c r="AX474" s="5">
        <v>0</v>
      </c>
      <c r="AY474" s="3"/>
      <c r="AZ474" t="s">
        <v>67</v>
      </c>
      <c r="BA474" t="s">
        <v>67</v>
      </c>
      <c r="BB474" t="s">
        <v>317</v>
      </c>
    </row>
    <row r="475" spans="1:54" x14ac:dyDescent="0.3">
      <c r="A475">
        <v>1</v>
      </c>
      <c r="B475">
        <v>15</v>
      </c>
      <c r="C475" t="s">
        <v>54</v>
      </c>
      <c r="D475" s="3">
        <v>46092.61619212963</v>
      </c>
      <c r="E475" s="8">
        <v>46185</v>
      </c>
      <c r="F475" t="s">
        <v>1819</v>
      </c>
      <c r="G475" t="s">
        <v>56</v>
      </c>
      <c r="H475" t="s">
        <v>1820</v>
      </c>
      <c r="I475" t="s">
        <v>1821</v>
      </c>
      <c r="J475" t="s">
        <v>59</v>
      </c>
      <c r="K475" t="s">
        <v>1822</v>
      </c>
      <c r="L475" t="s">
        <v>699</v>
      </c>
      <c r="M475" t="s">
        <v>63</v>
      </c>
      <c r="O475" t="s">
        <v>85</v>
      </c>
      <c r="P475" t="s">
        <v>86</v>
      </c>
      <c r="Q475" s="5">
        <v>4</v>
      </c>
      <c r="R475" s="6">
        <v>33</v>
      </c>
      <c r="S475" s="6">
        <v>132</v>
      </c>
      <c r="T475" s="6">
        <v>46.8</v>
      </c>
      <c r="U475" s="3">
        <v>46305.25</v>
      </c>
      <c r="W475" t="s">
        <v>1823</v>
      </c>
      <c r="X475" t="s">
        <v>67</v>
      </c>
      <c r="Y475" t="s">
        <v>68</v>
      </c>
      <c r="Z475" t="s">
        <v>1824</v>
      </c>
      <c r="AA475" t="s">
        <v>522</v>
      </c>
      <c r="AB475" t="s">
        <v>67</v>
      </c>
      <c r="AC475" t="s">
        <v>70</v>
      </c>
      <c r="AD475" t="s">
        <v>71</v>
      </c>
      <c r="AE475" t="s">
        <v>77</v>
      </c>
      <c r="AF475" t="s">
        <v>67</v>
      </c>
      <c r="AG475" t="s">
        <v>87</v>
      </c>
      <c r="AH475" t="b">
        <v>0</v>
      </c>
      <c r="AI475" t="b">
        <v>0</v>
      </c>
      <c r="AJ475" t="b">
        <v>0</v>
      </c>
      <c r="AK475" t="b">
        <v>0</v>
      </c>
      <c r="AL475" s="6">
        <v>11.7</v>
      </c>
      <c r="AM475" s="3">
        <v>46300.208333333343</v>
      </c>
      <c r="AN475">
        <v>1</v>
      </c>
      <c r="AO475" s="3"/>
      <c r="AT475" t="b">
        <v>0</v>
      </c>
      <c r="AU475" t="s">
        <v>74</v>
      </c>
      <c r="AV475" t="b">
        <v>1</v>
      </c>
      <c r="AW475" t="b">
        <v>0</v>
      </c>
      <c r="AX475" s="5">
        <v>0</v>
      </c>
      <c r="AY475" s="3"/>
      <c r="AZ475" t="s">
        <v>67</v>
      </c>
      <c r="BA475" t="s">
        <v>67</v>
      </c>
      <c r="BB475" t="s">
        <v>317</v>
      </c>
    </row>
    <row r="476" spans="1:54" x14ac:dyDescent="0.3">
      <c r="A476">
        <v>1</v>
      </c>
      <c r="B476">
        <v>15</v>
      </c>
      <c r="C476" t="s">
        <v>54</v>
      </c>
      <c r="D476" s="3">
        <v>46092.61619212963</v>
      </c>
      <c r="E476" s="8">
        <v>46185</v>
      </c>
      <c r="F476" t="s">
        <v>1819</v>
      </c>
      <c r="G476" t="s">
        <v>56</v>
      </c>
      <c r="H476" t="s">
        <v>1820</v>
      </c>
      <c r="I476" t="s">
        <v>1821</v>
      </c>
      <c r="J476" t="s">
        <v>59</v>
      </c>
      <c r="K476" t="s">
        <v>1822</v>
      </c>
      <c r="L476" t="s">
        <v>699</v>
      </c>
      <c r="M476" t="s">
        <v>63</v>
      </c>
      <c r="O476" t="s">
        <v>1825</v>
      </c>
      <c r="P476" t="s">
        <v>1826</v>
      </c>
      <c r="Q476" s="5">
        <v>1</v>
      </c>
      <c r="R476" s="6">
        <v>570</v>
      </c>
      <c r="S476" s="6">
        <v>570</v>
      </c>
      <c r="T476" s="6">
        <v>200.25</v>
      </c>
      <c r="U476" s="3">
        <v>46305.25</v>
      </c>
      <c r="W476" t="s">
        <v>1823</v>
      </c>
      <c r="X476" t="s">
        <v>67</v>
      </c>
      <c r="Y476" t="s">
        <v>68</v>
      </c>
      <c r="Z476" t="s">
        <v>1824</v>
      </c>
      <c r="AA476" t="s">
        <v>522</v>
      </c>
      <c r="AB476" t="s">
        <v>67</v>
      </c>
      <c r="AC476" t="s">
        <v>70</v>
      </c>
      <c r="AD476" t="s">
        <v>71</v>
      </c>
      <c r="AE476" t="s">
        <v>77</v>
      </c>
      <c r="AF476" t="s">
        <v>67</v>
      </c>
      <c r="AG476" t="s">
        <v>1827</v>
      </c>
      <c r="AH476" t="b">
        <v>0</v>
      </c>
      <c r="AI476" t="b">
        <v>0</v>
      </c>
      <c r="AJ476" t="b">
        <v>0</v>
      </c>
      <c r="AK476" t="b">
        <v>0</v>
      </c>
      <c r="AL476" s="6">
        <v>200.25</v>
      </c>
      <c r="AM476" s="3">
        <v>46300.208333333343</v>
      </c>
      <c r="AN476">
        <v>1</v>
      </c>
      <c r="AO476" s="3"/>
      <c r="AT476" t="b">
        <v>0</v>
      </c>
      <c r="AU476" t="s">
        <v>74</v>
      </c>
      <c r="AV476" t="b">
        <v>1</v>
      </c>
      <c r="AW476" t="b">
        <v>0</v>
      </c>
      <c r="AX476" s="5">
        <v>0</v>
      </c>
      <c r="AY476" s="3"/>
      <c r="AZ476" t="s">
        <v>67</v>
      </c>
      <c r="BA476" t="s">
        <v>67</v>
      </c>
      <c r="BB476" t="s">
        <v>317</v>
      </c>
    </row>
    <row r="477" spans="1:54" x14ac:dyDescent="0.3">
      <c r="A477">
        <v>1</v>
      </c>
      <c r="B477">
        <v>15</v>
      </c>
      <c r="C477" t="s">
        <v>54</v>
      </c>
      <c r="D477" s="3">
        <v>46092.61619212963</v>
      </c>
      <c r="E477" s="8">
        <v>46185</v>
      </c>
      <c r="F477" t="s">
        <v>1819</v>
      </c>
      <c r="G477" t="s">
        <v>56</v>
      </c>
      <c r="H477" t="s">
        <v>1820</v>
      </c>
      <c r="I477" t="s">
        <v>1821</v>
      </c>
      <c r="J477" t="s">
        <v>59</v>
      </c>
      <c r="K477" t="s">
        <v>1822</v>
      </c>
      <c r="L477" t="s">
        <v>699</v>
      </c>
      <c r="M477" t="s">
        <v>63</v>
      </c>
      <c r="O477" t="s">
        <v>279</v>
      </c>
      <c r="P477" t="s">
        <v>280</v>
      </c>
      <c r="Q477" s="5">
        <v>1</v>
      </c>
      <c r="R477" s="6">
        <v>570</v>
      </c>
      <c r="S477" s="6">
        <v>570</v>
      </c>
      <c r="T477" s="6">
        <v>200.25</v>
      </c>
      <c r="U477" s="3">
        <v>46305.25</v>
      </c>
      <c r="W477" t="s">
        <v>1823</v>
      </c>
      <c r="X477" t="s">
        <v>67</v>
      </c>
      <c r="Y477" t="s">
        <v>68</v>
      </c>
      <c r="Z477" t="s">
        <v>1824</v>
      </c>
      <c r="AA477" t="s">
        <v>522</v>
      </c>
      <c r="AB477" t="s">
        <v>67</v>
      </c>
      <c r="AC477" t="s">
        <v>70</v>
      </c>
      <c r="AD477" t="s">
        <v>71</v>
      </c>
      <c r="AE477" t="s">
        <v>77</v>
      </c>
      <c r="AF477" t="s">
        <v>67</v>
      </c>
      <c r="AG477" t="s">
        <v>281</v>
      </c>
      <c r="AH477" t="b">
        <v>0</v>
      </c>
      <c r="AI477" t="b">
        <v>0</v>
      </c>
      <c r="AJ477" t="b">
        <v>0</v>
      </c>
      <c r="AK477" t="b">
        <v>0</v>
      </c>
      <c r="AL477" s="6">
        <v>200.25</v>
      </c>
      <c r="AM477" s="3">
        <v>46300.208333333343</v>
      </c>
      <c r="AN477">
        <v>1</v>
      </c>
      <c r="AO477" s="3"/>
      <c r="AT477" t="b">
        <v>0</v>
      </c>
      <c r="AU477" t="s">
        <v>74</v>
      </c>
      <c r="AV477" t="b">
        <v>1</v>
      </c>
      <c r="AW477" t="b">
        <v>0</v>
      </c>
      <c r="AX477" s="5">
        <v>0</v>
      </c>
      <c r="AY477" s="3"/>
      <c r="AZ477" t="s">
        <v>67</v>
      </c>
      <c r="BA477" t="s">
        <v>67</v>
      </c>
      <c r="BB477" t="s">
        <v>317</v>
      </c>
    </row>
    <row r="478" spans="1:54" x14ac:dyDescent="0.3">
      <c r="A478">
        <v>1</v>
      </c>
      <c r="B478">
        <v>15</v>
      </c>
      <c r="C478" t="s">
        <v>54</v>
      </c>
      <c r="D478" s="3">
        <v>46092.61619212963</v>
      </c>
      <c r="E478" s="8">
        <v>46185</v>
      </c>
      <c r="F478" t="s">
        <v>1819</v>
      </c>
      <c r="G478" t="s">
        <v>56</v>
      </c>
      <c r="H478" t="s">
        <v>1820</v>
      </c>
      <c r="I478" t="s">
        <v>1821</v>
      </c>
      <c r="J478" t="s">
        <v>59</v>
      </c>
      <c r="K478" t="s">
        <v>1822</v>
      </c>
      <c r="L478" t="s">
        <v>699</v>
      </c>
      <c r="M478" t="s">
        <v>63</v>
      </c>
      <c r="O478" t="s">
        <v>79</v>
      </c>
      <c r="P478" t="s">
        <v>80</v>
      </c>
      <c r="Q478" s="5">
        <v>2</v>
      </c>
      <c r="R478" s="6">
        <v>570</v>
      </c>
      <c r="S478" s="6">
        <v>1140</v>
      </c>
      <c r="T478" s="6">
        <v>400.5</v>
      </c>
      <c r="U478" s="3">
        <v>46305.25</v>
      </c>
      <c r="W478" t="s">
        <v>1823</v>
      </c>
      <c r="X478" t="s">
        <v>67</v>
      </c>
      <c r="Y478" t="s">
        <v>68</v>
      </c>
      <c r="Z478" t="s">
        <v>1824</v>
      </c>
      <c r="AA478" t="s">
        <v>522</v>
      </c>
      <c r="AB478" t="s">
        <v>67</v>
      </c>
      <c r="AC478" t="s">
        <v>70</v>
      </c>
      <c r="AD478" t="s">
        <v>71</v>
      </c>
      <c r="AE478" t="s">
        <v>77</v>
      </c>
      <c r="AF478" t="s">
        <v>67</v>
      </c>
      <c r="AG478" t="s">
        <v>81</v>
      </c>
      <c r="AH478" t="b">
        <v>0</v>
      </c>
      <c r="AI478" t="b">
        <v>0</v>
      </c>
      <c r="AJ478" t="b">
        <v>0</v>
      </c>
      <c r="AK478" t="b">
        <v>0</v>
      </c>
      <c r="AL478" s="6">
        <v>200.25</v>
      </c>
      <c r="AM478" s="3">
        <v>46300.208333333343</v>
      </c>
      <c r="AN478">
        <v>1</v>
      </c>
      <c r="AO478" s="3"/>
      <c r="AT478" t="b">
        <v>0</v>
      </c>
      <c r="AU478" t="s">
        <v>74</v>
      </c>
      <c r="AV478" t="b">
        <v>1</v>
      </c>
      <c r="AW478" t="b">
        <v>0</v>
      </c>
      <c r="AX478" s="5">
        <v>0</v>
      </c>
      <c r="AY478" s="3"/>
      <c r="AZ478" t="s">
        <v>67</v>
      </c>
      <c r="BA478" t="s">
        <v>67</v>
      </c>
      <c r="BB478" t="s">
        <v>317</v>
      </c>
    </row>
    <row r="479" spans="1:54" x14ac:dyDescent="0.3">
      <c r="A479">
        <v>1</v>
      </c>
      <c r="B479">
        <v>15</v>
      </c>
      <c r="C479" t="s">
        <v>54</v>
      </c>
      <c r="D479" s="3">
        <v>46122.432569444441</v>
      </c>
      <c r="E479" s="8">
        <v>46161</v>
      </c>
      <c r="F479" t="s">
        <v>1828</v>
      </c>
      <c r="G479" t="s">
        <v>56</v>
      </c>
      <c r="H479" t="s">
        <v>1829</v>
      </c>
      <c r="I479" t="s">
        <v>1830</v>
      </c>
      <c r="J479" t="s">
        <v>749</v>
      </c>
      <c r="K479" t="s">
        <v>1831</v>
      </c>
      <c r="L479" t="s">
        <v>1071</v>
      </c>
      <c r="M479" t="s">
        <v>97</v>
      </c>
      <c r="N479" t="s">
        <v>97</v>
      </c>
      <c r="O479" t="s">
        <v>1072</v>
      </c>
      <c r="P479" t="s">
        <v>1073</v>
      </c>
      <c r="Q479" s="5">
        <v>4</v>
      </c>
      <c r="R479" s="6">
        <v>727</v>
      </c>
      <c r="S479" s="6">
        <v>2908</v>
      </c>
      <c r="T479" s="6">
        <v>1816</v>
      </c>
      <c r="U479" s="3">
        <v>46332.4375</v>
      </c>
      <c r="W479" t="s">
        <v>1832</v>
      </c>
      <c r="X479" t="s">
        <v>70</v>
      </c>
      <c r="Y479" t="s">
        <v>23</v>
      </c>
      <c r="Z479" t="s">
        <v>69</v>
      </c>
      <c r="AA479" t="s">
        <v>69</v>
      </c>
      <c r="AB479" t="s">
        <v>67</v>
      </c>
      <c r="AC479" t="s">
        <v>70</v>
      </c>
      <c r="AD479" t="s">
        <v>101</v>
      </c>
      <c r="AE479" t="s">
        <v>102</v>
      </c>
      <c r="AF479" t="s">
        <v>67</v>
      </c>
      <c r="AH479" t="b">
        <v>0</v>
      </c>
      <c r="AI479" t="b">
        <v>0</v>
      </c>
      <c r="AJ479" t="b">
        <v>0</v>
      </c>
      <c r="AK479" t="b">
        <v>0</v>
      </c>
      <c r="AL479" s="6">
        <v>454</v>
      </c>
      <c r="AM479" s="3">
        <v>46332.4375</v>
      </c>
      <c r="AN479">
        <v>1</v>
      </c>
      <c r="AO479" s="3"/>
      <c r="AP479" t="s">
        <v>112</v>
      </c>
      <c r="AQ479" t="s">
        <v>112</v>
      </c>
      <c r="AR479" t="s">
        <v>203</v>
      </c>
      <c r="AS479">
        <v>1</v>
      </c>
      <c r="AT479" t="b">
        <v>0</v>
      </c>
      <c r="AU479" t="s">
        <v>114</v>
      </c>
      <c r="AV479" t="b">
        <v>1</v>
      </c>
      <c r="AW479" t="b">
        <v>0</v>
      </c>
      <c r="AX479" s="5">
        <v>0</v>
      </c>
      <c r="AY479" s="3"/>
      <c r="AZ479" t="s">
        <v>67</v>
      </c>
      <c r="BA479" t="s">
        <v>67</v>
      </c>
      <c r="BB479" t="s">
        <v>997</v>
      </c>
    </row>
    <row r="480" spans="1:54" x14ac:dyDescent="0.3">
      <c r="A480">
        <v>1</v>
      </c>
      <c r="B480">
        <v>15</v>
      </c>
      <c r="C480" t="s">
        <v>54</v>
      </c>
      <c r="D480" s="3">
        <v>46122.432569444441</v>
      </c>
      <c r="E480" s="8">
        <v>46161</v>
      </c>
      <c r="F480" t="s">
        <v>1828</v>
      </c>
      <c r="G480" t="s">
        <v>56</v>
      </c>
      <c r="H480" t="s">
        <v>1829</v>
      </c>
      <c r="I480" t="s">
        <v>1830</v>
      </c>
      <c r="J480" t="s">
        <v>749</v>
      </c>
      <c r="K480" t="s">
        <v>1831</v>
      </c>
      <c r="L480" t="s">
        <v>1071</v>
      </c>
      <c r="M480" t="s">
        <v>97</v>
      </c>
      <c r="N480" t="s">
        <v>97</v>
      </c>
      <c r="O480" t="s">
        <v>752</v>
      </c>
      <c r="P480" t="s">
        <v>753</v>
      </c>
      <c r="Q480" s="5">
        <v>2</v>
      </c>
      <c r="R480" s="6">
        <v>80</v>
      </c>
      <c r="S480" s="6">
        <v>160</v>
      </c>
      <c r="T480" s="6">
        <v>0</v>
      </c>
      <c r="U480" s="3">
        <v>46332.4375</v>
      </c>
      <c r="W480" t="s">
        <v>1832</v>
      </c>
      <c r="X480" t="s">
        <v>70</v>
      </c>
      <c r="Y480" t="s">
        <v>23</v>
      </c>
      <c r="Z480" t="s">
        <v>69</v>
      </c>
      <c r="AA480" t="s">
        <v>69</v>
      </c>
      <c r="AB480" t="s">
        <v>67</v>
      </c>
      <c r="AC480" t="s">
        <v>70</v>
      </c>
      <c r="AD480" t="s">
        <v>101</v>
      </c>
      <c r="AE480" t="s">
        <v>102</v>
      </c>
      <c r="AF480" t="s">
        <v>67</v>
      </c>
      <c r="AG480" t="s">
        <v>752</v>
      </c>
      <c r="AH480" t="b">
        <v>0</v>
      </c>
      <c r="AI480" t="b">
        <v>0</v>
      </c>
      <c r="AJ480" t="b">
        <v>0</v>
      </c>
      <c r="AK480" t="b">
        <v>0</v>
      </c>
      <c r="AL480" s="6">
        <v>0</v>
      </c>
      <c r="AM480" s="3">
        <v>46332.4375</v>
      </c>
      <c r="AN480">
        <v>1</v>
      </c>
      <c r="AO480" s="3"/>
      <c r="AP480" t="s">
        <v>112</v>
      </c>
      <c r="AQ480" t="s">
        <v>112</v>
      </c>
      <c r="AR480" t="s">
        <v>203</v>
      </c>
      <c r="AS480">
        <v>1</v>
      </c>
      <c r="AT480" t="b">
        <v>0</v>
      </c>
      <c r="AU480" t="s">
        <v>114</v>
      </c>
      <c r="AV480" t="b">
        <v>1</v>
      </c>
      <c r="AW480" t="b">
        <v>0</v>
      </c>
      <c r="AX480" s="5">
        <v>0</v>
      </c>
      <c r="AY480" s="3"/>
      <c r="AZ480" t="s">
        <v>67</v>
      </c>
      <c r="BA480" t="s">
        <v>67</v>
      </c>
      <c r="BB480" t="s">
        <v>997</v>
      </c>
    </row>
    <row r="481" spans="1:54" x14ac:dyDescent="0.3">
      <c r="A481">
        <v>1</v>
      </c>
      <c r="B481">
        <v>15</v>
      </c>
      <c r="C481" t="s">
        <v>54</v>
      </c>
      <c r="D481" s="3">
        <v>46141.62332175926</v>
      </c>
      <c r="E481" s="8">
        <v>46141</v>
      </c>
      <c r="F481" t="s">
        <v>1833</v>
      </c>
      <c r="G481" t="s">
        <v>56</v>
      </c>
      <c r="H481" t="s">
        <v>1834</v>
      </c>
      <c r="I481" t="s">
        <v>1835</v>
      </c>
      <c r="J481" t="s">
        <v>59</v>
      </c>
      <c r="K481" t="s">
        <v>902</v>
      </c>
      <c r="L481" t="s">
        <v>699</v>
      </c>
      <c r="M481" t="s">
        <v>63</v>
      </c>
      <c r="O481" t="s">
        <v>1836</v>
      </c>
      <c r="P481" t="s">
        <v>1837</v>
      </c>
      <c r="Q481" s="5">
        <v>1</v>
      </c>
      <c r="R481" s="6">
        <v>520</v>
      </c>
      <c r="S481" s="6">
        <v>520</v>
      </c>
      <c r="T481" s="6">
        <v>63.25</v>
      </c>
      <c r="U481" s="3">
        <v>46245.607638888891</v>
      </c>
      <c r="V481" t="s">
        <v>241</v>
      </c>
      <c r="W481" t="s">
        <v>1838</v>
      </c>
      <c r="X481" t="s">
        <v>67</v>
      </c>
      <c r="Y481" t="s">
        <v>68</v>
      </c>
      <c r="Z481" t="s">
        <v>1839</v>
      </c>
      <c r="AA481" t="s">
        <v>522</v>
      </c>
      <c r="AB481" t="s">
        <v>70</v>
      </c>
      <c r="AC481" t="s">
        <v>70</v>
      </c>
      <c r="AD481" t="s">
        <v>71</v>
      </c>
      <c r="AE481" t="s">
        <v>220</v>
      </c>
      <c r="AF481" t="s">
        <v>67</v>
      </c>
      <c r="AG481" t="s">
        <v>1840</v>
      </c>
      <c r="AH481" t="b">
        <v>0</v>
      </c>
      <c r="AI481" t="b">
        <v>0</v>
      </c>
      <c r="AJ481" t="b">
        <v>0</v>
      </c>
      <c r="AK481" t="b">
        <v>0</v>
      </c>
      <c r="AL481" s="6">
        <v>63.25</v>
      </c>
      <c r="AM481" s="3">
        <v>46245.607638888891</v>
      </c>
      <c r="AN481">
        <v>0</v>
      </c>
      <c r="AO481" s="3"/>
      <c r="AT481" t="b">
        <v>0</v>
      </c>
      <c r="AU481" t="s">
        <v>74</v>
      </c>
      <c r="AV481" t="b">
        <v>1</v>
      </c>
      <c r="AW481" t="b">
        <v>0</v>
      </c>
      <c r="AX481" s="5">
        <v>0</v>
      </c>
      <c r="AY481" s="3"/>
      <c r="AZ481" t="s">
        <v>67</v>
      </c>
      <c r="BA481" t="s">
        <v>67</v>
      </c>
      <c r="BB481" t="s">
        <v>317</v>
      </c>
    </row>
    <row r="482" spans="1:54" x14ac:dyDescent="0.3">
      <c r="A482">
        <v>1</v>
      </c>
      <c r="B482">
        <v>15</v>
      </c>
      <c r="C482" t="s">
        <v>54</v>
      </c>
      <c r="D482" s="3">
        <v>46141.62332175926</v>
      </c>
      <c r="E482" s="8">
        <v>46141</v>
      </c>
      <c r="F482" t="s">
        <v>1833</v>
      </c>
      <c r="G482" t="s">
        <v>56</v>
      </c>
      <c r="H482" t="s">
        <v>1834</v>
      </c>
      <c r="I482" t="s">
        <v>1835</v>
      </c>
      <c r="J482" t="s">
        <v>59</v>
      </c>
      <c r="K482" t="s">
        <v>902</v>
      </c>
      <c r="L482" t="s">
        <v>699</v>
      </c>
      <c r="M482" t="s">
        <v>63</v>
      </c>
      <c r="O482" t="s">
        <v>1836</v>
      </c>
      <c r="P482" t="s">
        <v>1837</v>
      </c>
      <c r="Q482" s="5">
        <v>1</v>
      </c>
      <c r="R482" s="6">
        <v>520</v>
      </c>
      <c r="S482" s="6">
        <v>520</v>
      </c>
      <c r="T482" s="6">
        <v>63.25</v>
      </c>
      <c r="U482" s="3">
        <v>46245.607638888891</v>
      </c>
      <c r="V482" t="s">
        <v>241</v>
      </c>
      <c r="W482" t="s">
        <v>1838</v>
      </c>
      <c r="X482" t="s">
        <v>67</v>
      </c>
      <c r="Y482" t="s">
        <v>68</v>
      </c>
      <c r="Z482" t="s">
        <v>1839</v>
      </c>
      <c r="AA482" t="s">
        <v>522</v>
      </c>
      <c r="AB482" t="s">
        <v>70</v>
      </c>
      <c r="AC482" t="s">
        <v>70</v>
      </c>
      <c r="AD482" t="s">
        <v>71</v>
      </c>
      <c r="AE482" t="s">
        <v>220</v>
      </c>
      <c r="AF482" t="s">
        <v>67</v>
      </c>
      <c r="AG482" t="s">
        <v>1840</v>
      </c>
      <c r="AH482" t="b">
        <v>0</v>
      </c>
      <c r="AI482" t="b">
        <v>0</v>
      </c>
      <c r="AJ482" t="b">
        <v>0</v>
      </c>
      <c r="AK482" t="b">
        <v>0</v>
      </c>
      <c r="AL482" s="6">
        <v>63.25</v>
      </c>
      <c r="AM482" s="3">
        <v>46245.607638888891</v>
      </c>
      <c r="AN482">
        <v>1</v>
      </c>
      <c r="AO482" s="3"/>
      <c r="AT482" t="b">
        <v>0</v>
      </c>
      <c r="AU482" t="s">
        <v>74</v>
      </c>
      <c r="AV482" t="b">
        <v>1</v>
      </c>
      <c r="AW482" t="b">
        <v>0</v>
      </c>
      <c r="AX482" s="5">
        <v>0</v>
      </c>
      <c r="AY482" s="3"/>
      <c r="AZ482" t="s">
        <v>67</v>
      </c>
      <c r="BA482" t="s">
        <v>67</v>
      </c>
      <c r="BB482" t="s">
        <v>317</v>
      </c>
    </row>
    <row r="483" spans="1:54" x14ac:dyDescent="0.3">
      <c r="A483">
        <v>1</v>
      </c>
      <c r="B483">
        <v>15</v>
      </c>
      <c r="C483" t="s">
        <v>54</v>
      </c>
      <c r="D483" s="3">
        <v>46154.41134259259</v>
      </c>
      <c r="E483" s="8">
        <v>46188</v>
      </c>
      <c r="F483" t="s">
        <v>1841</v>
      </c>
      <c r="G483" t="s">
        <v>56</v>
      </c>
      <c r="H483" t="s">
        <v>1842</v>
      </c>
      <c r="I483" t="s">
        <v>1843</v>
      </c>
      <c r="J483" t="s">
        <v>59</v>
      </c>
      <c r="K483" t="s">
        <v>1039</v>
      </c>
      <c r="L483" t="s">
        <v>61</v>
      </c>
      <c r="M483" t="s">
        <v>62</v>
      </c>
      <c r="N483" t="s">
        <v>63</v>
      </c>
      <c r="O483" t="s">
        <v>1844</v>
      </c>
      <c r="P483" t="s">
        <v>1845</v>
      </c>
      <c r="Q483" s="5">
        <v>1</v>
      </c>
      <c r="R483" s="6">
        <v>51.24</v>
      </c>
      <c r="S483" s="6">
        <v>51.24</v>
      </c>
      <c r="T483" s="6">
        <v>15.2</v>
      </c>
      <c r="U483" s="3">
        <v>46260.458333333343</v>
      </c>
      <c r="W483" t="s">
        <v>1846</v>
      </c>
      <c r="X483" t="s">
        <v>67</v>
      </c>
      <c r="Y483" t="s">
        <v>68</v>
      </c>
      <c r="Z483" t="s">
        <v>521</v>
      </c>
      <c r="AA483" t="s">
        <v>522</v>
      </c>
      <c r="AB483" t="s">
        <v>67</v>
      </c>
      <c r="AC483" t="s">
        <v>70</v>
      </c>
      <c r="AD483" t="s">
        <v>71</v>
      </c>
      <c r="AE483" t="s">
        <v>185</v>
      </c>
      <c r="AF483" t="s">
        <v>67</v>
      </c>
      <c r="AG483" t="s">
        <v>1847</v>
      </c>
      <c r="AH483" t="b">
        <v>0</v>
      </c>
      <c r="AI483" t="b">
        <v>0</v>
      </c>
      <c r="AJ483" t="b">
        <v>0</v>
      </c>
      <c r="AK483" t="b">
        <v>0</v>
      </c>
      <c r="AL483" s="6">
        <v>15.2</v>
      </c>
      <c r="AM483" s="3">
        <v>46252.375</v>
      </c>
      <c r="AN483">
        <v>1</v>
      </c>
      <c r="AO483" s="3"/>
      <c r="AT483" t="b">
        <v>0</v>
      </c>
      <c r="AU483" t="s">
        <v>74</v>
      </c>
      <c r="AV483" t="b">
        <v>1</v>
      </c>
      <c r="AW483" t="b">
        <v>0</v>
      </c>
      <c r="AX483" s="5">
        <v>0</v>
      </c>
      <c r="AY483" s="3"/>
      <c r="AZ483" t="s">
        <v>67</v>
      </c>
      <c r="BA483" t="s">
        <v>67</v>
      </c>
      <c r="BB483" t="s">
        <v>317</v>
      </c>
    </row>
    <row r="484" spans="1:54" x14ac:dyDescent="0.3">
      <c r="A484">
        <v>1</v>
      </c>
      <c r="B484">
        <v>15</v>
      </c>
      <c r="C484" t="s">
        <v>54</v>
      </c>
      <c r="D484" s="3">
        <v>46154.412847222222</v>
      </c>
      <c r="E484" s="8">
        <v>46154</v>
      </c>
      <c r="F484" t="s">
        <v>1848</v>
      </c>
      <c r="G484" t="s">
        <v>56</v>
      </c>
      <c r="H484" t="s">
        <v>1849</v>
      </c>
      <c r="I484" t="s">
        <v>1850</v>
      </c>
      <c r="J484" t="s">
        <v>59</v>
      </c>
      <c r="K484" t="s">
        <v>1851</v>
      </c>
      <c r="L484" t="s">
        <v>61</v>
      </c>
      <c r="M484" t="s">
        <v>62</v>
      </c>
      <c r="N484" t="s">
        <v>62</v>
      </c>
      <c r="O484" t="s">
        <v>82</v>
      </c>
      <c r="P484" t="s">
        <v>83</v>
      </c>
      <c r="Q484" s="5">
        <v>1</v>
      </c>
      <c r="R484" s="6">
        <v>140</v>
      </c>
      <c r="S484" s="6">
        <v>140</v>
      </c>
      <c r="T484" s="6">
        <v>93.1</v>
      </c>
      <c r="U484" s="3">
        <v>46302.229166666657</v>
      </c>
      <c r="W484" t="s">
        <v>1852</v>
      </c>
      <c r="X484" t="s">
        <v>67</v>
      </c>
      <c r="Y484" t="s">
        <v>68</v>
      </c>
      <c r="Z484" t="s">
        <v>1853</v>
      </c>
      <c r="AA484" t="s">
        <v>522</v>
      </c>
      <c r="AB484" t="s">
        <v>67</v>
      </c>
      <c r="AC484" t="s">
        <v>67</v>
      </c>
      <c r="AD484" t="s">
        <v>71</v>
      </c>
      <c r="AE484" t="s">
        <v>84</v>
      </c>
      <c r="AF484" t="s">
        <v>67</v>
      </c>
      <c r="AG484" t="s">
        <v>82</v>
      </c>
      <c r="AH484" t="b">
        <v>0</v>
      </c>
      <c r="AI484" t="b">
        <v>0</v>
      </c>
      <c r="AJ484" t="b">
        <v>0</v>
      </c>
      <c r="AK484" t="b">
        <v>0</v>
      </c>
      <c r="AL484" s="6">
        <v>93.1</v>
      </c>
      <c r="AM484" s="3">
        <v>46280.256944444453</v>
      </c>
      <c r="AN484">
        <v>1</v>
      </c>
      <c r="AO484" s="3"/>
      <c r="AT484" t="b">
        <v>0</v>
      </c>
      <c r="AU484" t="s">
        <v>74</v>
      </c>
      <c r="AV484" t="b">
        <v>1</v>
      </c>
      <c r="AW484" t="b">
        <v>0</v>
      </c>
      <c r="AX484" s="5">
        <v>0</v>
      </c>
      <c r="AY484" s="3"/>
      <c r="AZ484" t="s">
        <v>67</v>
      </c>
      <c r="BA484" t="s">
        <v>67</v>
      </c>
      <c r="BB484" t="s">
        <v>317</v>
      </c>
    </row>
    <row r="485" spans="1:54" x14ac:dyDescent="0.3">
      <c r="A485">
        <v>1</v>
      </c>
      <c r="B485">
        <v>15</v>
      </c>
      <c r="C485" t="s">
        <v>54</v>
      </c>
      <c r="D485" s="3">
        <v>46154.412847222222</v>
      </c>
      <c r="E485" s="8">
        <v>46154</v>
      </c>
      <c r="F485" t="s">
        <v>1848</v>
      </c>
      <c r="G485" t="s">
        <v>56</v>
      </c>
      <c r="H485" t="s">
        <v>1849</v>
      </c>
      <c r="I485" t="s">
        <v>1850</v>
      </c>
      <c r="J485" t="s">
        <v>59</v>
      </c>
      <c r="K485" t="s">
        <v>1851</v>
      </c>
      <c r="L485" t="s">
        <v>61</v>
      </c>
      <c r="M485" t="s">
        <v>62</v>
      </c>
      <c r="N485" t="s">
        <v>62</v>
      </c>
      <c r="O485" t="s">
        <v>204</v>
      </c>
      <c r="P485" t="s">
        <v>205</v>
      </c>
      <c r="Q485" s="5">
        <v>2</v>
      </c>
      <c r="R485" s="6">
        <v>87</v>
      </c>
      <c r="S485" s="6">
        <v>174</v>
      </c>
      <c r="T485" s="6">
        <v>63</v>
      </c>
      <c r="U485" s="3">
        <v>46302.229166666657</v>
      </c>
      <c r="W485" t="s">
        <v>1852</v>
      </c>
      <c r="X485" t="s">
        <v>67</v>
      </c>
      <c r="Y485" t="s">
        <v>68</v>
      </c>
      <c r="Z485" t="s">
        <v>1853</v>
      </c>
      <c r="AA485" t="s">
        <v>522</v>
      </c>
      <c r="AB485" t="s">
        <v>67</v>
      </c>
      <c r="AC485" t="s">
        <v>67</v>
      </c>
      <c r="AD485" t="s">
        <v>71</v>
      </c>
      <c r="AE485" t="s">
        <v>77</v>
      </c>
      <c r="AF485" t="s">
        <v>67</v>
      </c>
      <c r="AG485" t="s">
        <v>206</v>
      </c>
      <c r="AH485" t="b">
        <v>0</v>
      </c>
      <c r="AI485" t="b">
        <v>0</v>
      </c>
      <c r="AJ485" t="b">
        <v>0</v>
      </c>
      <c r="AK485" t="b">
        <v>0</v>
      </c>
      <c r="AL485" s="6">
        <v>31.5</v>
      </c>
      <c r="AM485" s="3">
        <v>46280.256944444453</v>
      </c>
      <c r="AN485">
        <v>1</v>
      </c>
      <c r="AO485" s="3"/>
      <c r="AT485" t="b">
        <v>0</v>
      </c>
      <c r="AU485" t="s">
        <v>74</v>
      </c>
      <c r="AV485" t="b">
        <v>1</v>
      </c>
      <c r="AW485" t="b">
        <v>0</v>
      </c>
      <c r="AX485" s="5">
        <v>0</v>
      </c>
      <c r="AY485" s="3"/>
      <c r="AZ485" t="s">
        <v>67</v>
      </c>
      <c r="BA485" t="s">
        <v>67</v>
      </c>
      <c r="BB485" t="s">
        <v>317</v>
      </c>
    </row>
    <row r="486" spans="1:54" x14ac:dyDescent="0.3">
      <c r="A486">
        <v>1</v>
      </c>
      <c r="B486">
        <v>15</v>
      </c>
      <c r="C486" t="s">
        <v>54</v>
      </c>
      <c r="D486" s="3">
        <v>46154.412847222222</v>
      </c>
      <c r="E486" s="8">
        <v>46154</v>
      </c>
      <c r="F486" t="s">
        <v>1848</v>
      </c>
      <c r="G486" t="s">
        <v>56</v>
      </c>
      <c r="H486" t="s">
        <v>1849</v>
      </c>
      <c r="I486" t="s">
        <v>1850</v>
      </c>
      <c r="J486" t="s">
        <v>59</v>
      </c>
      <c r="K486" t="s">
        <v>1851</v>
      </c>
      <c r="L486" t="s">
        <v>61</v>
      </c>
      <c r="M486" t="s">
        <v>62</v>
      </c>
      <c r="N486" t="s">
        <v>62</v>
      </c>
      <c r="O486" t="s">
        <v>175</v>
      </c>
      <c r="P486" t="s">
        <v>176</v>
      </c>
      <c r="Q486" s="5">
        <v>2</v>
      </c>
      <c r="R486" s="6">
        <v>570</v>
      </c>
      <c r="S486" s="6">
        <v>1140</v>
      </c>
      <c r="T486" s="6">
        <v>400.5</v>
      </c>
      <c r="U486" s="3">
        <v>46302.229166666657</v>
      </c>
      <c r="W486" t="s">
        <v>1852</v>
      </c>
      <c r="X486" t="s">
        <v>67</v>
      </c>
      <c r="Y486" t="s">
        <v>68</v>
      </c>
      <c r="Z486" t="s">
        <v>1853</v>
      </c>
      <c r="AA486" t="s">
        <v>522</v>
      </c>
      <c r="AB486" t="s">
        <v>67</v>
      </c>
      <c r="AC486" t="s">
        <v>67</v>
      </c>
      <c r="AD486" t="s">
        <v>71</v>
      </c>
      <c r="AE486" t="s">
        <v>77</v>
      </c>
      <c r="AF486" t="s">
        <v>67</v>
      </c>
      <c r="AG486" t="s">
        <v>177</v>
      </c>
      <c r="AH486" t="b">
        <v>0</v>
      </c>
      <c r="AI486" t="b">
        <v>0</v>
      </c>
      <c r="AJ486" t="b">
        <v>0</v>
      </c>
      <c r="AK486" t="b">
        <v>0</v>
      </c>
      <c r="AL486" s="6">
        <v>200.25</v>
      </c>
      <c r="AM486" s="3">
        <v>46280.256944444453</v>
      </c>
      <c r="AN486">
        <v>1</v>
      </c>
      <c r="AO486" s="3"/>
      <c r="AT486" t="b">
        <v>0</v>
      </c>
      <c r="AU486" t="s">
        <v>74</v>
      </c>
      <c r="AV486" t="b">
        <v>1</v>
      </c>
      <c r="AW486" t="b">
        <v>0</v>
      </c>
      <c r="AX486" s="5">
        <v>0</v>
      </c>
      <c r="AY486" s="3"/>
      <c r="AZ486" t="s">
        <v>67</v>
      </c>
      <c r="BA486" t="s">
        <v>67</v>
      </c>
      <c r="BB486" t="s">
        <v>317</v>
      </c>
    </row>
    <row r="487" spans="1:54" x14ac:dyDescent="0.3">
      <c r="A487">
        <v>1</v>
      </c>
      <c r="B487">
        <v>15</v>
      </c>
      <c r="C487" t="s">
        <v>54</v>
      </c>
      <c r="D487" s="3">
        <v>46154.664861111109</v>
      </c>
      <c r="E487" s="8">
        <v>46174</v>
      </c>
      <c r="F487" t="s">
        <v>1854</v>
      </c>
      <c r="G487" t="s">
        <v>56</v>
      </c>
      <c r="H487" t="s">
        <v>1855</v>
      </c>
      <c r="I487" t="s">
        <v>1856</v>
      </c>
      <c r="J487" t="s">
        <v>59</v>
      </c>
      <c r="L487" t="s">
        <v>61</v>
      </c>
      <c r="M487" t="s">
        <v>63</v>
      </c>
      <c r="N487" t="s">
        <v>62</v>
      </c>
      <c r="O487" t="s">
        <v>82</v>
      </c>
      <c r="P487" t="s">
        <v>83</v>
      </c>
      <c r="Q487" s="5">
        <v>1</v>
      </c>
      <c r="R487" s="6">
        <v>140</v>
      </c>
      <c r="S487" s="6">
        <v>140</v>
      </c>
      <c r="T487" s="6">
        <v>93.1</v>
      </c>
      <c r="U487" s="3">
        <v>46287.583333333343</v>
      </c>
      <c r="W487" t="s">
        <v>1857</v>
      </c>
      <c r="X487" t="s">
        <v>67</v>
      </c>
      <c r="Y487" t="s">
        <v>68</v>
      </c>
      <c r="Z487" t="s">
        <v>1839</v>
      </c>
      <c r="AA487" t="s">
        <v>522</v>
      </c>
      <c r="AB487" t="s">
        <v>67</v>
      </c>
      <c r="AC487" t="s">
        <v>70</v>
      </c>
      <c r="AD487" t="s">
        <v>71</v>
      </c>
      <c r="AE487" t="s">
        <v>84</v>
      </c>
      <c r="AF487" t="s">
        <v>67</v>
      </c>
      <c r="AG487" t="s">
        <v>82</v>
      </c>
      <c r="AH487" t="b">
        <v>0</v>
      </c>
      <c r="AI487" t="b">
        <v>0</v>
      </c>
      <c r="AJ487" t="b">
        <v>0</v>
      </c>
      <c r="AK487" t="b">
        <v>0</v>
      </c>
      <c r="AL487" s="6">
        <v>93.1</v>
      </c>
      <c r="AM487" s="3">
        <v>46286.25</v>
      </c>
      <c r="AN487">
        <v>0</v>
      </c>
      <c r="AO487" s="3"/>
      <c r="AT487" t="b">
        <v>0</v>
      </c>
      <c r="AU487" t="s">
        <v>74</v>
      </c>
      <c r="AV487" t="b">
        <v>1</v>
      </c>
      <c r="AW487" t="b">
        <v>0</v>
      </c>
      <c r="AX487" s="5">
        <v>0</v>
      </c>
      <c r="AY487" s="3"/>
      <c r="AZ487" t="s">
        <v>67</v>
      </c>
      <c r="BA487" t="s">
        <v>67</v>
      </c>
      <c r="BB487" t="s">
        <v>317</v>
      </c>
    </row>
    <row r="488" spans="1:54" x14ac:dyDescent="0.3">
      <c r="A488">
        <v>1</v>
      </c>
      <c r="B488">
        <v>15</v>
      </c>
      <c r="C488" t="s">
        <v>54</v>
      </c>
      <c r="D488" s="3">
        <v>46154.664861111109</v>
      </c>
      <c r="E488" s="8">
        <v>46174</v>
      </c>
      <c r="F488" t="s">
        <v>1854</v>
      </c>
      <c r="G488" t="s">
        <v>56</v>
      </c>
      <c r="H488" t="s">
        <v>1855</v>
      </c>
      <c r="I488" t="s">
        <v>1856</v>
      </c>
      <c r="J488" t="s">
        <v>59</v>
      </c>
      <c r="L488" t="s">
        <v>61</v>
      </c>
      <c r="M488" t="s">
        <v>63</v>
      </c>
      <c r="N488" t="s">
        <v>62</v>
      </c>
      <c r="O488" t="s">
        <v>82</v>
      </c>
      <c r="P488" t="s">
        <v>83</v>
      </c>
      <c r="Q488" s="5">
        <v>1</v>
      </c>
      <c r="R488" s="6">
        <v>140</v>
      </c>
      <c r="S488" s="6">
        <v>140</v>
      </c>
      <c r="T488" s="6">
        <v>93.1</v>
      </c>
      <c r="U488" s="3">
        <v>46287.583333333343</v>
      </c>
      <c r="W488" t="s">
        <v>1857</v>
      </c>
      <c r="X488" t="s">
        <v>67</v>
      </c>
      <c r="Y488" t="s">
        <v>68</v>
      </c>
      <c r="Z488" t="s">
        <v>1839</v>
      </c>
      <c r="AA488" t="s">
        <v>522</v>
      </c>
      <c r="AB488" t="s">
        <v>67</v>
      </c>
      <c r="AC488" t="s">
        <v>70</v>
      </c>
      <c r="AD488" t="s">
        <v>71</v>
      </c>
      <c r="AE488" t="s">
        <v>84</v>
      </c>
      <c r="AF488" t="s">
        <v>67</v>
      </c>
      <c r="AG488" t="s">
        <v>82</v>
      </c>
      <c r="AH488" t="b">
        <v>0</v>
      </c>
      <c r="AI488" t="b">
        <v>0</v>
      </c>
      <c r="AJ488" t="b">
        <v>0</v>
      </c>
      <c r="AK488" t="b">
        <v>0</v>
      </c>
      <c r="AL488" s="6">
        <v>93.1</v>
      </c>
      <c r="AM488" s="3">
        <v>46286.25</v>
      </c>
      <c r="AN488">
        <v>1</v>
      </c>
      <c r="AO488" s="3"/>
      <c r="AT488" t="b">
        <v>0</v>
      </c>
      <c r="AU488" t="s">
        <v>74</v>
      </c>
      <c r="AV488" t="b">
        <v>1</v>
      </c>
      <c r="AW488" t="b">
        <v>0</v>
      </c>
      <c r="AX488" s="5">
        <v>0</v>
      </c>
      <c r="AY488" s="3"/>
      <c r="AZ488" t="s">
        <v>67</v>
      </c>
      <c r="BA488" t="s">
        <v>67</v>
      </c>
      <c r="BB488" t="s">
        <v>317</v>
      </c>
    </row>
    <row r="489" spans="1:54" x14ac:dyDescent="0.3">
      <c r="A489">
        <v>1</v>
      </c>
      <c r="B489">
        <v>15</v>
      </c>
      <c r="C489" t="s">
        <v>54</v>
      </c>
      <c r="D489" s="3">
        <v>46154.664861111109</v>
      </c>
      <c r="E489" s="8">
        <v>46174</v>
      </c>
      <c r="F489" t="s">
        <v>1854</v>
      </c>
      <c r="G489" t="s">
        <v>56</v>
      </c>
      <c r="H489" t="s">
        <v>1855</v>
      </c>
      <c r="I489" t="s">
        <v>1856</v>
      </c>
      <c r="J489" t="s">
        <v>59</v>
      </c>
      <c r="L489" t="s">
        <v>61</v>
      </c>
      <c r="M489" t="s">
        <v>63</v>
      </c>
      <c r="N489" t="s">
        <v>62</v>
      </c>
      <c r="O489" t="s">
        <v>963</v>
      </c>
      <c r="P489" t="s">
        <v>964</v>
      </c>
      <c r="Q489" s="5">
        <v>1</v>
      </c>
      <c r="R489" s="6">
        <v>520</v>
      </c>
      <c r="S489" s="6">
        <v>520</v>
      </c>
      <c r="T489" s="6">
        <v>63.25</v>
      </c>
      <c r="U489" s="3">
        <v>46287.583333333343</v>
      </c>
      <c r="W489" t="s">
        <v>1857</v>
      </c>
      <c r="X489" t="s">
        <v>67</v>
      </c>
      <c r="Y489" t="s">
        <v>68</v>
      </c>
      <c r="Z489" t="s">
        <v>1839</v>
      </c>
      <c r="AA489" t="s">
        <v>522</v>
      </c>
      <c r="AB489" t="s">
        <v>67</v>
      </c>
      <c r="AC489" t="s">
        <v>70</v>
      </c>
      <c r="AD489" t="s">
        <v>71</v>
      </c>
      <c r="AE489" t="s">
        <v>220</v>
      </c>
      <c r="AF489" t="s">
        <v>67</v>
      </c>
      <c r="AG489" t="s">
        <v>965</v>
      </c>
      <c r="AH489" t="b">
        <v>0</v>
      </c>
      <c r="AI489" t="b">
        <v>0</v>
      </c>
      <c r="AJ489" t="b">
        <v>0</v>
      </c>
      <c r="AK489" t="b">
        <v>0</v>
      </c>
      <c r="AL489" s="6">
        <v>63.25</v>
      </c>
      <c r="AM489" s="3">
        <v>46286.25</v>
      </c>
      <c r="AN489">
        <v>0</v>
      </c>
      <c r="AO489" s="3"/>
      <c r="AT489" t="b">
        <v>0</v>
      </c>
      <c r="AU489" t="s">
        <v>74</v>
      </c>
      <c r="AV489" t="b">
        <v>1</v>
      </c>
      <c r="AW489" t="b">
        <v>0</v>
      </c>
      <c r="AX489" s="5">
        <v>0</v>
      </c>
      <c r="AY489" s="3"/>
      <c r="AZ489" t="s">
        <v>67</v>
      </c>
      <c r="BA489" t="s">
        <v>67</v>
      </c>
      <c r="BB489" t="s">
        <v>317</v>
      </c>
    </row>
    <row r="490" spans="1:54" x14ac:dyDescent="0.3">
      <c r="A490">
        <v>1</v>
      </c>
      <c r="B490">
        <v>15</v>
      </c>
      <c r="C490" t="s">
        <v>54</v>
      </c>
      <c r="D490" s="3">
        <v>46154.664861111109</v>
      </c>
      <c r="E490" s="8">
        <v>46174</v>
      </c>
      <c r="F490" t="s">
        <v>1854</v>
      </c>
      <c r="G490" t="s">
        <v>56</v>
      </c>
      <c r="H490" t="s">
        <v>1855</v>
      </c>
      <c r="I490" t="s">
        <v>1856</v>
      </c>
      <c r="J490" t="s">
        <v>59</v>
      </c>
      <c r="L490" t="s">
        <v>61</v>
      </c>
      <c r="M490" t="s">
        <v>63</v>
      </c>
      <c r="N490" t="s">
        <v>62</v>
      </c>
      <c r="O490" t="s">
        <v>963</v>
      </c>
      <c r="P490" t="s">
        <v>964</v>
      </c>
      <c r="Q490" s="5">
        <v>1</v>
      </c>
      <c r="R490" s="6">
        <v>520</v>
      </c>
      <c r="S490" s="6">
        <v>520</v>
      </c>
      <c r="T490" s="6">
        <v>63.25</v>
      </c>
      <c r="U490" s="3">
        <v>46287.583333333343</v>
      </c>
      <c r="W490" t="s">
        <v>1857</v>
      </c>
      <c r="X490" t="s">
        <v>67</v>
      </c>
      <c r="Y490" t="s">
        <v>68</v>
      </c>
      <c r="Z490" t="s">
        <v>1839</v>
      </c>
      <c r="AA490" t="s">
        <v>522</v>
      </c>
      <c r="AB490" t="s">
        <v>67</v>
      </c>
      <c r="AC490" t="s">
        <v>70</v>
      </c>
      <c r="AD490" t="s">
        <v>71</v>
      </c>
      <c r="AE490" t="s">
        <v>220</v>
      </c>
      <c r="AF490" t="s">
        <v>67</v>
      </c>
      <c r="AG490" t="s">
        <v>965</v>
      </c>
      <c r="AH490" t="b">
        <v>0</v>
      </c>
      <c r="AI490" t="b">
        <v>0</v>
      </c>
      <c r="AJ490" t="b">
        <v>0</v>
      </c>
      <c r="AK490" t="b">
        <v>0</v>
      </c>
      <c r="AL490" s="6">
        <v>63.25</v>
      </c>
      <c r="AM490" s="3">
        <v>46286.25</v>
      </c>
      <c r="AN490">
        <v>1</v>
      </c>
      <c r="AO490" s="3"/>
      <c r="AT490" t="b">
        <v>0</v>
      </c>
      <c r="AU490" t="s">
        <v>74</v>
      </c>
      <c r="AV490" t="b">
        <v>1</v>
      </c>
      <c r="AW490" t="b">
        <v>0</v>
      </c>
      <c r="AX490" s="5">
        <v>0</v>
      </c>
      <c r="AY490" s="3"/>
      <c r="AZ490" t="s">
        <v>67</v>
      </c>
      <c r="BA490" t="s">
        <v>67</v>
      </c>
      <c r="BB490" t="s">
        <v>317</v>
      </c>
    </row>
    <row r="491" spans="1:54" x14ac:dyDescent="0.3">
      <c r="A491">
        <v>1</v>
      </c>
      <c r="B491">
        <v>15</v>
      </c>
      <c r="C491" t="s">
        <v>54</v>
      </c>
      <c r="D491" s="3">
        <v>46154.664861111109</v>
      </c>
      <c r="E491" s="8">
        <v>46174</v>
      </c>
      <c r="F491" t="s">
        <v>1854</v>
      </c>
      <c r="G491" t="s">
        <v>56</v>
      </c>
      <c r="H491" t="s">
        <v>1855</v>
      </c>
      <c r="I491" t="s">
        <v>1856</v>
      </c>
      <c r="J491" t="s">
        <v>59</v>
      </c>
      <c r="L491" t="s">
        <v>61</v>
      </c>
      <c r="M491" t="s">
        <v>63</v>
      </c>
      <c r="N491" t="s">
        <v>62</v>
      </c>
      <c r="O491" t="s">
        <v>1836</v>
      </c>
      <c r="P491" t="s">
        <v>1837</v>
      </c>
      <c r="Q491" s="5">
        <v>1</v>
      </c>
      <c r="R491" s="6">
        <v>520</v>
      </c>
      <c r="S491" s="6">
        <v>520</v>
      </c>
      <c r="T491" s="6">
        <v>63.25</v>
      </c>
      <c r="U491" s="3">
        <v>46287.583333333343</v>
      </c>
      <c r="W491" t="s">
        <v>1857</v>
      </c>
      <c r="X491" t="s">
        <v>67</v>
      </c>
      <c r="Y491" t="s">
        <v>68</v>
      </c>
      <c r="Z491" t="s">
        <v>1839</v>
      </c>
      <c r="AA491" t="s">
        <v>522</v>
      </c>
      <c r="AB491" t="s">
        <v>67</v>
      </c>
      <c r="AC491" t="s">
        <v>70</v>
      </c>
      <c r="AD491" t="s">
        <v>71</v>
      </c>
      <c r="AE491" t="s">
        <v>220</v>
      </c>
      <c r="AF491" t="s">
        <v>67</v>
      </c>
      <c r="AG491" t="s">
        <v>1840</v>
      </c>
      <c r="AH491" t="b">
        <v>0</v>
      </c>
      <c r="AI491" t="b">
        <v>0</v>
      </c>
      <c r="AJ491" t="b">
        <v>0</v>
      </c>
      <c r="AK491" t="b">
        <v>0</v>
      </c>
      <c r="AL491" s="6">
        <v>63.25</v>
      </c>
      <c r="AM491" s="3">
        <v>46286.25</v>
      </c>
      <c r="AN491">
        <v>0</v>
      </c>
      <c r="AO491" s="3"/>
      <c r="AT491" t="b">
        <v>0</v>
      </c>
      <c r="AU491" t="s">
        <v>74</v>
      </c>
      <c r="AV491" t="b">
        <v>1</v>
      </c>
      <c r="AW491" t="b">
        <v>0</v>
      </c>
      <c r="AX491" s="5">
        <v>0</v>
      </c>
      <c r="AY491" s="3"/>
      <c r="AZ491" t="s">
        <v>67</v>
      </c>
      <c r="BA491" t="s">
        <v>67</v>
      </c>
      <c r="BB491" t="s">
        <v>317</v>
      </c>
    </row>
    <row r="492" spans="1:54" x14ac:dyDescent="0.3">
      <c r="A492">
        <v>1</v>
      </c>
      <c r="B492">
        <v>15</v>
      </c>
      <c r="C492" t="s">
        <v>54</v>
      </c>
      <c r="D492" s="3">
        <v>46154.664861111109</v>
      </c>
      <c r="E492" s="8">
        <v>46174</v>
      </c>
      <c r="F492" t="s">
        <v>1854</v>
      </c>
      <c r="G492" t="s">
        <v>56</v>
      </c>
      <c r="H492" t="s">
        <v>1855</v>
      </c>
      <c r="I492" t="s">
        <v>1856</v>
      </c>
      <c r="J492" t="s">
        <v>59</v>
      </c>
      <c r="L492" t="s">
        <v>61</v>
      </c>
      <c r="M492" t="s">
        <v>63</v>
      </c>
      <c r="N492" t="s">
        <v>62</v>
      </c>
      <c r="O492" t="s">
        <v>1836</v>
      </c>
      <c r="P492" t="s">
        <v>1837</v>
      </c>
      <c r="Q492" s="5">
        <v>1</v>
      </c>
      <c r="R492" s="6">
        <v>520</v>
      </c>
      <c r="S492" s="6">
        <v>520</v>
      </c>
      <c r="T492" s="6">
        <v>63.25</v>
      </c>
      <c r="U492" s="3">
        <v>46287.583333333343</v>
      </c>
      <c r="W492" t="s">
        <v>1857</v>
      </c>
      <c r="X492" t="s">
        <v>67</v>
      </c>
      <c r="Y492" t="s">
        <v>68</v>
      </c>
      <c r="Z492" t="s">
        <v>1839</v>
      </c>
      <c r="AA492" t="s">
        <v>522</v>
      </c>
      <c r="AB492" t="s">
        <v>67</v>
      </c>
      <c r="AC492" t="s">
        <v>70</v>
      </c>
      <c r="AD492" t="s">
        <v>71</v>
      </c>
      <c r="AE492" t="s">
        <v>220</v>
      </c>
      <c r="AF492" t="s">
        <v>67</v>
      </c>
      <c r="AG492" t="s">
        <v>1840</v>
      </c>
      <c r="AH492" t="b">
        <v>0</v>
      </c>
      <c r="AI492" t="b">
        <v>0</v>
      </c>
      <c r="AJ492" t="b">
        <v>0</v>
      </c>
      <c r="AK492" t="b">
        <v>0</v>
      </c>
      <c r="AL492" s="6">
        <v>63.25</v>
      </c>
      <c r="AM492" s="3">
        <v>46286.25</v>
      </c>
      <c r="AN492">
        <v>1</v>
      </c>
      <c r="AO492" s="3"/>
      <c r="AT492" t="b">
        <v>0</v>
      </c>
      <c r="AU492" t="s">
        <v>74</v>
      </c>
      <c r="AV492" t="b">
        <v>1</v>
      </c>
      <c r="AW492" t="b">
        <v>0</v>
      </c>
      <c r="AX492" s="5">
        <v>0</v>
      </c>
      <c r="AY492" s="3"/>
      <c r="AZ492" t="s">
        <v>67</v>
      </c>
      <c r="BA492" t="s">
        <v>67</v>
      </c>
      <c r="BB492" t="s">
        <v>317</v>
      </c>
    </row>
    <row r="493" spans="1:54" x14ac:dyDescent="0.3">
      <c r="A493">
        <v>1</v>
      </c>
      <c r="B493">
        <v>15</v>
      </c>
      <c r="C493" t="s">
        <v>54</v>
      </c>
      <c r="D493" s="3">
        <v>46154.664861111109</v>
      </c>
      <c r="E493" s="8">
        <v>46174</v>
      </c>
      <c r="F493" t="s">
        <v>1854</v>
      </c>
      <c r="G493" t="s">
        <v>56</v>
      </c>
      <c r="H493" t="s">
        <v>1855</v>
      </c>
      <c r="I493" t="s">
        <v>1856</v>
      </c>
      <c r="J493" t="s">
        <v>59</v>
      </c>
      <c r="L493" t="s">
        <v>61</v>
      </c>
      <c r="M493" t="s">
        <v>63</v>
      </c>
      <c r="N493" t="s">
        <v>62</v>
      </c>
      <c r="O493" t="s">
        <v>247</v>
      </c>
      <c r="P493" t="s">
        <v>248</v>
      </c>
      <c r="Q493" s="5">
        <v>2</v>
      </c>
      <c r="R493" s="6">
        <v>54</v>
      </c>
      <c r="S493" s="6">
        <v>108</v>
      </c>
      <c r="T493" s="6">
        <v>25.76</v>
      </c>
      <c r="U493" s="3">
        <v>46287.583333333343</v>
      </c>
      <c r="W493" t="s">
        <v>1857</v>
      </c>
      <c r="X493" t="s">
        <v>67</v>
      </c>
      <c r="Y493" t="s">
        <v>68</v>
      </c>
      <c r="Z493" t="s">
        <v>1839</v>
      </c>
      <c r="AA493" t="s">
        <v>522</v>
      </c>
      <c r="AB493" t="s">
        <v>67</v>
      </c>
      <c r="AC493" t="s">
        <v>70</v>
      </c>
      <c r="AD493" t="s">
        <v>71</v>
      </c>
      <c r="AE493" t="s">
        <v>220</v>
      </c>
      <c r="AF493" t="s">
        <v>67</v>
      </c>
      <c r="AG493" t="s">
        <v>250</v>
      </c>
      <c r="AH493" t="b">
        <v>0</v>
      </c>
      <c r="AI493" t="b">
        <v>0</v>
      </c>
      <c r="AJ493" t="b">
        <v>0</v>
      </c>
      <c r="AK493" t="b">
        <v>0</v>
      </c>
      <c r="AL493" s="6">
        <v>12.88</v>
      </c>
      <c r="AM493" s="3">
        <v>46286.25</v>
      </c>
      <c r="AN493">
        <v>0</v>
      </c>
      <c r="AO493" s="3"/>
      <c r="AT493" t="b">
        <v>0</v>
      </c>
      <c r="AU493" t="s">
        <v>74</v>
      </c>
      <c r="AV493" t="b">
        <v>1</v>
      </c>
      <c r="AW493" t="b">
        <v>0</v>
      </c>
      <c r="AX493" s="5">
        <v>0</v>
      </c>
      <c r="AY493" s="3"/>
      <c r="AZ493" t="s">
        <v>67</v>
      </c>
      <c r="BA493" t="s">
        <v>67</v>
      </c>
      <c r="BB493" t="s">
        <v>317</v>
      </c>
    </row>
    <row r="494" spans="1:54" x14ac:dyDescent="0.3">
      <c r="A494">
        <v>1</v>
      </c>
      <c r="B494">
        <v>15</v>
      </c>
      <c r="C494" t="s">
        <v>54</v>
      </c>
      <c r="D494" s="3">
        <v>46154.664861111109</v>
      </c>
      <c r="E494" s="8">
        <v>46174</v>
      </c>
      <c r="F494" t="s">
        <v>1854</v>
      </c>
      <c r="G494" t="s">
        <v>56</v>
      </c>
      <c r="H494" t="s">
        <v>1855</v>
      </c>
      <c r="I494" t="s">
        <v>1856</v>
      </c>
      <c r="J494" t="s">
        <v>59</v>
      </c>
      <c r="L494" t="s">
        <v>61</v>
      </c>
      <c r="M494" t="s">
        <v>63</v>
      </c>
      <c r="N494" t="s">
        <v>62</v>
      </c>
      <c r="O494" t="s">
        <v>247</v>
      </c>
      <c r="P494" t="s">
        <v>248</v>
      </c>
      <c r="Q494" s="5">
        <v>2</v>
      </c>
      <c r="R494" s="6">
        <v>54</v>
      </c>
      <c r="S494" s="6">
        <v>108</v>
      </c>
      <c r="T494" s="6">
        <v>25.76</v>
      </c>
      <c r="U494" s="3">
        <v>46287.583333333343</v>
      </c>
      <c r="W494" t="s">
        <v>1857</v>
      </c>
      <c r="X494" t="s">
        <v>67</v>
      </c>
      <c r="Y494" t="s">
        <v>68</v>
      </c>
      <c r="Z494" t="s">
        <v>1839</v>
      </c>
      <c r="AA494" t="s">
        <v>522</v>
      </c>
      <c r="AB494" t="s">
        <v>67</v>
      </c>
      <c r="AC494" t="s">
        <v>70</v>
      </c>
      <c r="AD494" t="s">
        <v>71</v>
      </c>
      <c r="AE494" t="s">
        <v>220</v>
      </c>
      <c r="AF494" t="s">
        <v>67</v>
      </c>
      <c r="AG494" t="s">
        <v>250</v>
      </c>
      <c r="AH494" t="b">
        <v>0</v>
      </c>
      <c r="AI494" t="b">
        <v>0</v>
      </c>
      <c r="AJ494" t="b">
        <v>0</v>
      </c>
      <c r="AK494" t="b">
        <v>0</v>
      </c>
      <c r="AL494" s="6">
        <v>12.88</v>
      </c>
      <c r="AM494" s="3">
        <v>46286.25</v>
      </c>
      <c r="AN494">
        <v>1</v>
      </c>
      <c r="AO494" s="3"/>
      <c r="AT494" t="b">
        <v>0</v>
      </c>
      <c r="AU494" t="s">
        <v>74</v>
      </c>
      <c r="AV494" t="b">
        <v>1</v>
      </c>
      <c r="AW494" t="b">
        <v>0</v>
      </c>
      <c r="AX494" s="5">
        <v>0</v>
      </c>
      <c r="AY494" s="3"/>
      <c r="AZ494" t="s">
        <v>67</v>
      </c>
      <c r="BA494" t="s">
        <v>67</v>
      </c>
      <c r="BB494" t="s">
        <v>317</v>
      </c>
    </row>
    <row r="495" spans="1:54" x14ac:dyDescent="0.3">
      <c r="A495">
        <v>1</v>
      </c>
      <c r="B495">
        <v>15</v>
      </c>
      <c r="C495" t="s">
        <v>54</v>
      </c>
      <c r="D495" s="3">
        <v>46154.721145833333</v>
      </c>
      <c r="E495" s="8">
        <v>46154</v>
      </c>
      <c r="F495" t="s">
        <v>1858</v>
      </c>
      <c r="G495" t="s">
        <v>56</v>
      </c>
      <c r="H495" t="s">
        <v>1859</v>
      </c>
      <c r="I495" t="s">
        <v>1860</v>
      </c>
      <c r="J495" t="s">
        <v>59</v>
      </c>
      <c r="K495" t="s">
        <v>164</v>
      </c>
      <c r="L495" t="s">
        <v>61</v>
      </c>
      <c r="M495" t="s">
        <v>62</v>
      </c>
      <c r="N495" t="s">
        <v>62</v>
      </c>
      <c r="O495" t="s">
        <v>82</v>
      </c>
      <c r="P495" t="s">
        <v>83</v>
      </c>
      <c r="Q495" s="5">
        <v>1</v>
      </c>
      <c r="R495" s="6">
        <v>140</v>
      </c>
      <c r="S495" s="6">
        <v>140</v>
      </c>
      <c r="T495" s="6">
        <v>93.1</v>
      </c>
      <c r="U495" s="3">
        <v>46217.25</v>
      </c>
      <c r="W495" t="s">
        <v>1861</v>
      </c>
      <c r="X495" t="s">
        <v>70</v>
      </c>
      <c r="Y495" t="s">
        <v>68</v>
      </c>
      <c r="Z495" t="s">
        <v>69</v>
      </c>
      <c r="AA495" t="s">
        <v>69</v>
      </c>
      <c r="AB495" t="s">
        <v>67</v>
      </c>
      <c r="AC495" t="s">
        <v>67</v>
      </c>
      <c r="AD495" t="s">
        <v>71</v>
      </c>
      <c r="AE495" t="s">
        <v>84</v>
      </c>
      <c r="AF495" t="s">
        <v>67</v>
      </c>
      <c r="AG495" t="s">
        <v>82</v>
      </c>
      <c r="AH495" t="b">
        <v>0</v>
      </c>
      <c r="AI495" t="b">
        <v>0</v>
      </c>
      <c r="AJ495" t="b">
        <v>0</v>
      </c>
      <c r="AK495" t="b">
        <v>0</v>
      </c>
      <c r="AL495" s="6">
        <v>93.1</v>
      </c>
      <c r="AM495" s="3">
        <v>46217.25</v>
      </c>
      <c r="AN495">
        <v>1</v>
      </c>
      <c r="AO495" s="3"/>
      <c r="AT495" t="b">
        <v>0</v>
      </c>
      <c r="AU495" t="s">
        <v>74</v>
      </c>
      <c r="AV495" t="b">
        <v>1</v>
      </c>
      <c r="AW495" t="b">
        <v>0</v>
      </c>
      <c r="AX495" s="5">
        <v>0</v>
      </c>
      <c r="AY495" s="3"/>
      <c r="AZ495" t="s">
        <v>67</v>
      </c>
      <c r="BA495" t="s">
        <v>67</v>
      </c>
      <c r="BB495" t="s">
        <v>317</v>
      </c>
    </row>
    <row r="496" spans="1:54" x14ac:dyDescent="0.3">
      <c r="A496">
        <v>1</v>
      </c>
      <c r="B496">
        <v>15</v>
      </c>
      <c r="C496" t="s">
        <v>54</v>
      </c>
      <c r="D496" s="3">
        <v>46154.721145833333</v>
      </c>
      <c r="E496" s="8">
        <v>46154</v>
      </c>
      <c r="F496" t="s">
        <v>1858</v>
      </c>
      <c r="G496" t="s">
        <v>56</v>
      </c>
      <c r="H496" t="s">
        <v>1859</v>
      </c>
      <c r="I496" t="s">
        <v>1860</v>
      </c>
      <c r="J496" t="s">
        <v>59</v>
      </c>
      <c r="K496" t="s">
        <v>164</v>
      </c>
      <c r="L496" t="s">
        <v>61</v>
      </c>
      <c r="M496" t="s">
        <v>62</v>
      </c>
      <c r="N496" t="s">
        <v>62</v>
      </c>
      <c r="O496" t="s">
        <v>916</v>
      </c>
      <c r="P496" t="s">
        <v>917</v>
      </c>
      <c r="Q496" s="5">
        <v>1</v>
      </c>
      <c r="R496" s="6">
        <v>1141</v>
      </c>
      <c r="S496" s="6">
        <v>1141</v>
      </c>
      <c r="T496" s="6">
        <v>713</v>
      </c>
      <c r="U496" s="3">
        <v>46217.25</v>
      </c>
      <c r="W496" t="s">
        <v>1861</v>
      </c>
      <c r="X496" t="s">
        <v>70</v>
      </c>
      <c r="Y496" t="s">
        <v>23</v>
      </c>
      <c r="Z496" t="s">
        <v>69</v>
      </c>
      <c r="AA496" t="s">
        <v>69</v>
      </c>
      <c r="AB496" t="s">
        <v>67</v>
      </c>
      <c r="AC496" t="s">
        <v>67</v>
      </c>
      <c r="AD496" t="s">
        <v>71</v>
      </c>
      <c r="AF496" t="s">
        <v>67</v>
      </c>
      <c r="AH496" t="b">
        <v>0</v>
      </c>
      <c r="AI496" t="b">
        <v>0</v>
      </c>
      <c r="AJ496" t="b">
        <v>0</v>
      </c>
      <c r="AK496" t="b">
        <v>0</v>
      </c>
      <c r="AL496" s="6">
        <v>713</v>
      </c>
      <c r="AM496" s="3">
        <v>46217.25</v>
      </c>
      <c r="AN496">
        <v>1</v>
      </c>
      <c r="AO496" s="3"/>
      <c r="AT496" t="b">
        <v>0</v>
      </c>
      <c r="AU496" t="s">
        <v>74</v>
      </c>
      <c r="AV496" t="b">
        <v>1</v>
      </c>
      <c r="AW496" t="b">
        <v>0</v>
      </c>
      <c r="AX496" s="5">
        <v>0</v>
      </c>
      <c r="AY496" s="3"/>
      <c r="AZ496" t="s">
        <v>67</v>
      </c>
      <c r="BA496" t="s">
        <v>67</v>
      </c>
      <c r="BB496" t="s">
        <v>317</v>
      </c>
    </row>
    <row r="497" spans="1:54" x14ac:dyDescent="0.3">
      <c r="A497">
        <v>1</v>
      </c>
      <c r="B497">
        <v>15</v>
      </c>
      <c r="C497" t="s">
        <v>54</v>
      </c>
      <c r="D497" s="3">
        <v>46154.721145833333</v>
      </c>
      <c r="E497" s="8">
        <v>46154</v>
      </c>
      <c r="F497" t="s">
        <v>1858</v>
      </c>
      <c r="G497" t="s">
        <v>56</v>
      </c>
      <c r="H497" t="s">
        <v>1859</v>
      </c>
      <c r="I497" t="s">
        <v>1860</v>
      </c>
      <c r="J497" t="s">
        <v>59</v>
      </c>
      <c r="K497" t="s">
        <v>164</v>
      </c>
      <c r="L497" t="s">
        <v>61</v>
      </c>
      <c r="M497" t="s">
        <v>62</v>
      </c>
      <c r="N497" t="s">
        <v>62</v>
      </c>
      <c r="O497" t="s">
        <v>121</v>
      </c>
      <c r="P497" t="s">
        <v>122</v>
      </c>
      <c r="Q497" s="5">
        <v>4</v>
      </c>
      <c r="R497" s="6">
        <v>53</v>
      </c>
      <c r="S497" s="6">
        <v>212</v>
      </c>
      <c r="T497" s="6">
        <v>132</v>
      </c>
      <c r="U497" s="3">
        <v>46217.25</v>
      </c>
      <c r="W497" t="s">
        <v>1861</v>
      </c>
      <c r="X497" t="s">
        <v>70</v>
      </c>
      <c r="Y497" t="s">
        <v>23</v>
      </c>
      <c r="Z497" t="s">
        <v>69</v>
      </c>
      <c r="AA497" t="s">
        <v>69</v>
      </c>
      <c r="AB497" t="s">
        <v>67</v>
      </c>
      <c r="AC497" t="s">
        <v>67</v>
      </c>
      <c r="AD497" t="s">
        <v>71</v>
      </c>
      <c r="AF497" t="s">
        <v>67</v>
      </c>
      <c r="AH497" t="b">
        <v>0</v>
      </c>
      <c r="AI497" t="b">
        <v>0</v>
      </c>
      <c r="AJ497" t="b">
        <v>0</v>
      </c>
      <c r="AK497" t="b">
        <v>0</v>
      </c>
      <c r="AL497" s="6">
        <v>33</v>
      </c>
      <c r="AM497" s="3">
        <v>46217.25</v>
      </c>
      <c r="AN497">
        <v>1</v>
      </c>
      <c r="AO497" s="3"/>
      <c r="AT497" t="b">
        <v>0</v>
      </c>
      <c r="AU497" t="s">
        <v>74</v>
      </c>
      <c r="AV497" t="b">
        <v>1</v>
      </c>
      <c r="AW497" t="b">
        <v>0</v>
      </c>
      <c r="AX497" s="5">
        <v>0</v>
      </c>
      <c r="AY497" s="3"/>
      <c r="AZ497" t="s">
        <v>67</v>
      </c>
      <c r="BA497" t="s">
        <v>67</v>
      </c>
      <c r="BB497" t="s">
        <v>317</v>
      </c>
    </row>
    <row r="498" spans="1:54" x14ac:dyDescent="0.3">
      <c r="A498">
        <v>1</v>
      </c>
      <c r="B498">
        <v>15</v>
      </c>
      <c r="C498" t="s">
        <v>54</v>
      </c>
      <c r="D498" s="3">
        <v>46154.721145833333</v>
      </c>
      <c r="E498" s="8">
        <v>46154</v>
      </c>
      <c r="F498" t="s">
        <v>1858</v>
      </c>
      <c r="G498" t="s">
        <v>56</v>
      </c>
      <c r="H498" t="s">
        <v>1859</v>
      </c>
      <c r="I498" t="s">
        <v>1860</v>
      </c>
      <c r="J498" t="s">
        <v>59</v>
      </c>
      <c r="K498" t="s">
        <v>164</v>
      </c>
      <c r="L498" t="s">
        <v>61</v>
      </c>
      <c r="M498" t="s">
        <v>62</v>
      </c>
      <c r="N498" t="s">
        <v>62</v>
      </c>
      <c r="O498" t="s">
        <v>918</v>
      </c>
      <c r="P498" t="s">
        <v>919</v>
      </c>
      <c r="Q498" s="5">
        <v>4</v>
      </c>
      <c r="R498" s="6">
        <v>87</v>
      </c>
      <c r="S498" s="6">
        <v>348</v>
      </c>
      <c r="T498" s="6">
        <v>216</v>
      </c>
      <c r="U498" s="3">
        <v>46217.25</v>
      </c>
      <c r="W498" t="s">
        <v>1861</v>
      </c>
      <c r="X498" t="s">
        <v>70</v>
      </c>
      <c r="Y498" t="s">
        <v>23</v>
      </c>
      <c r="Z498" t="s">
        <v>69</v>
      </c>
      <c r="AA498" t="s">
        <v>69</v>
      </c>
      <c r="AB498" t="s">
        <v>67</v>
      </c>
      <c r="AC498" t="s">
        <v>67</v>
      </c>
      <c r="AD498" t="s">
        <v>71</v>
      </c>
      <c r="AE498" t="s">
        <v>102</v>
      </c>
      <c r="AF498" t="s">
        <v>67</v>
      </c>
      <c r="AH498" t="b">
        <v>0</v>
      </c>
      <c r="AI498" t="b">
        <v>0</v>
      </c>
      <c r="AJ498" t="b">
        <v>0</v>
      </c>
      <c r="AK498" t="b">
        <v>0</v>
      </c>
      <c r="AL498" s="6">
        <v>54</v>
      </c>
      <c r="AM498" s="3">
        <v>46217.25</v>
      </c>
      <c r="AN498">
        <v>1</v>
      </c>
      <c r="AO498" s="3"/>
      <c r="AT498" t="b">
        <v>0</v>
      </c>
      <c r="AU498" t="s">
        <v>74</v>
      </c>
      <c r="AV498" t="b">
        <v>1</v>
      </c>
      <c r="AW498" t="b">
        <v>0</v>
      </c>
      <c r="AX498" s="5">
        <v>0</v>
      </c>
      <c r="AY498" s="3"/>
      <c r="AZ498" t="s">
        <v>67</v>
      </c>
      <c r="BA498" t="s">
        <v>67</v>
      </c>
      <c r="BB498" t="s">
        <v>317</v>
      </c>
    </row>
    <row r="499" spans="1:54" x14ac:dyDescent="0.3">
      <c r="A499">
        <v>1</v>
      </c>
      <c r="B499">
        <v>15</v>
      </c>
      <c r="C499" t="s">
        <v>54</v>
      </c>
      <c r="D499" s="3">
        <v>46154.721145833333</v>
      </c>
      <c r="E499" s="8">
        <v>46154</v>
      </c>
      <c r="F499" t="s">
        <v>1858</v>
      </c>
      <c r="G499" t="s">
        <v>56</v>
      </c>
      <c r="H499" t="s">
        <v>1859</v>
      </c>
      <c r="I499" t="s">
        <v>1860</v>
      </c>
      <c r="J499" t="s">
        <v>59</v>
      </c>
      <c r="K499" t="s">
        <v>164</v>
      </c>
      <c r="L499" t="s">
        <v>61</v>
      </c>
      <c r="M499" t="s">
        <v>62</v>
      </c>
      <c r="N499" t="s">
        <v>62</v>
      </c>
      <c r="O499" t="s">
        <v>920</v>
      </c>
      <c r="P499" t="s">
        <v>921</v>
      </c>
      <c r="Q499" s="5">
        <v>1</v>
      </c>
      <c r="R499" s="6">
        <v>685</v>
      </c>
      <c r="S499" s="6">
        <v>685</v>
      </c>
      <c r="T499" s="6">
        <v>428</v>
      </c>
      <c r="U499" s="3">
        <v>46217.25</v>
      </c>
      <c r="W499" t="s">
        <v>1861</v>
      </c>
      <c r="X499" t="s">
        <v>70</v>
      </c>
      <c r="Y499" t="s">
        <v>23</v>
      </c>
      <c r="Z499" t="s">
        <v>69</v>
      </c>
      <c r="AA499" t="s">
        <v>69</v>
      </c>
      <c r="AB499" t="s">
        <v>67</v>
      </c>
      <c r="AC499" t="s">
        <v>67</v>
      </c>
      <c r="AD499" t="s">
        <v>71</v>
      </c>
      <c r="AE499" t="s">
        <v>102</v>
      </c>
      <c r="AF499" t="s">
        <v>67</v>
      </c>
      <c r="AH499" t="b">
        <v>0</v>
      </c>
      <c r="AI499" t="b">
        <v>0</v>
      </c>
      <c r="AJ499" t="b">
        <v>0</v>
      </c>
      <c r="AK499" t="b">
        <v>0</v>
      </c>
      <c r="AL499" s="6">
        <v>428</v>
      </c>
      <c r="AM499" s="3">
        <v>46217.25</v>
      </c>
      <c r="AN499">
        <v>1</v>
      </c>
      <c r="AO499" s="3"/>
      <c r="AT499" t="b">
        <v>0</v>
      </c>
      <c r="AU499" t="s">
        <v>74</v>
      </c>
      <c r="AV499" t="b">
        <v>1</v>
      </c>
      <c r="AW499" t="b">
        <v>0</v>
      </c>
      <c r="AX499" s="5">
        <v>0</v>
      </c>
      <c r="AY499" s="3"/>
      <c r="AZ499" t="s">
        <v>67</v>
      </c>
      <c r="BA499" t="s">
        <v>67</v>
      </c>
      <c r="BB499" t="s">
        <v>317</v>
      </c>
    </row>
    <row r="500" spans="1:54" x14ac:dyDescent="0.3">
      <c r="A500">
        <v>1</v>
      </c>
      <c r="B500">
        <v>15</v>
      </c>
      <c r="C500" t="s">
        <v>54</v>
      </c>
      <c r="D500" s="3">
        <v>46154.721145833333</v>
      </c>
      <c r="E500" s="8">
        <v>46154</v>
      </c>
      <c r="F500" t="s">
        <v>1858</v>
      </c>
      <c r="G500" t="s">
        <v>56</v>
      </c>
      <c r="H500" t="s">
        <v>1859</v>
      </c>
      <c r="I500" t="s">
        <v>1860</v>
      </c>
      <c r="J500" t="s">
        <v>59</v>
      </c>
      <c r="K500" t="s">
        <v>164</v>
      </c>
      <c r="L500" t="s">
        <v>61</v>
      </c>
      <c r="M500" t="s">
        <v>62</v>
      </c>
      <c r="N500" t="s">
        <v>62</v>
      </c>
      <c r="O500" t="s">
        <v>903</v>
      </c>
      <c r="P500" t="s">
        <v>904</v>
      </c>
      <c r="Q500" s="5">
        <v>1</v>
      </c>
      <c r="R500" s="6">
        <v>173</v>
      </c>
      <c r="S500" s="6">
        <v>173</v>
      </c>
      <c r="T500" s="6">
        <v>108</v>
      </c>
      <c r="U500" s="3">
        <v>46217.25</v>
      </c>
      <c r="W500" t="s">
        <v>1861</v>
      </c>
      <c r="X500" t="s">
        <v>70</v>
      </c>
      <c r="Y500" t="s">
        <v>23</v>
      </c>
      <c r="Z500" t="s">
        <v>69</v>
      </c>
      <c r="AA500" t="s">
        <v>69</v>
      </c>
      <c r="AB500" t="s">
        <v>67</v>
      </c>
      <c r="AC500" t="s">
        <v>67</v>
      </c>
      <c r="AD500" t="s">
        <v>71</v>
      </c>
      <c r="AE500" t="s">
        <v>102</v>
      </c>
      <c r="AF500" t="s">
        <v>67</v>
      </c>
      <c r="AH500" t="b">
        <v>0</v>
      </c>
      <c r="AI500" t="b">
        <v>0</v>
      </c>
      <c r="AJ500" t="b">
        <v>0</v>
      </c>
      <c r="AK500" t="b">
        <v>0</v>
      </c>
      <c r="AL500" s="6">
        <v>108</v>
      </c>
      <c r="AM500" s="3">
        <v>46217.25</v>
      </c>
      <c r="AN500">
        <v>1</v>
      </c>
      <c r="AO500" s="3"/>
      <c r="AT500" t="b">
        <v>0</v>
      </c>
      <c r="AU500" t="s">
        <v>74</v>
      </c>
      <c r="AV500" t="b">
        <v>1</v>
      </c>
      <c r="AW500" t="b">
        <v>0</v>
      </c>
      <c r="AX500" s="5">
        <v>0</v>
      </c>
      <c r="AY500" s="3"/>
      <c r="AZ500" t="s">
        <v>67</v>
      </c>
      <c r="BA500" t="s">
        <v>67</v>
      </c>
      <c r="BB500" t="s">
        <v>317</v>
      </c>
    </row>
    <row r="501" spans="1:54" x14ac:dyDescent="0.3">
      <c r="A501">
        <v>1</v>
      </c>
      <c r="B501">
        <v>15</v>
      </c>
      <c r="C501" t="s">
        <v>54</v>
      </c>
      <c r="D501" s="3">
        <v>46154.721145833333</v>
      </c>
      <c r="E501" s="8">
        <v>46154</v>
      </c>
      <c r="F501" t="s">
        <v>1858</v>
      </c>
      <c r="G501" t="s">
        <v>56</v>
      </c>
      <c r="H501" t="s">
        <v>1859</v>
      </c>
      <c r="I501" t="s">
        <v>1860</v>
      </c>
      <c r="J501" t="s">
        <v>59</v>
      </c>
      <c r="K501" t="s">
        <v>164</v>
      </c>
      <c r="L501" t="s">
        <v>61</v>
      </c>
      <c r="M501" t="s">
        <v>62</v>
      </c>
      <c r="N501" t="s">
        <v>62</v>
      </c>
      <c r="O501" t="s">
        <v>922</v>
      </c>
      <c r="P501" t="s">
        <v>923</v>
      </c>
      <c r="Q501" s="5">
        <v>1</v>
      </c>
      <c r="R501" s="6">
        <v>1047</v>
      </c>
      <c r="S501" s="6">
        <v>1047</v>
      </c>
      <c r="T501" s="6">
        <v>654</v>
      </c>
      <c r="U501" s="3">
        <v>46217.25</v>
      </c>
      <c r="W501" t="s">
        <v>1861</v>
      </c>
      <c r="X501" t="s">
        <v>70</v>
      </c>
      <c r="Y501" t="s">
        <v>23</v>
      </c>
      <c r="Z501" t="s">
        <v>69</v>
      </c>
      <c r="AA501" t="s">
        <v>69</v>
      </c>
      <c r="AB501" t="s">
        <v>67</v>
      </c>
      <c r="AC501" t="s">
        <v>67</v>
      </c>
      <c r="AD501" t="s">
        <v>71</v>
      </c>
      <c r="AF501" t="s">
        <v>67</v>
      </c>
      <c r="AH501" t="b">
        <v>0</v>
      </c>
      <c r="AI501" t="b">
        <v>0</v>
      </c>
      <c r="AJ501" t="b">
        <v>0</v>
      </c>
      <c r="AK501" t="b">
        <v>0</v>
      </c>
      <c r="AL501" s="6">
        <v>654</v>
      </c>
      <c r="AM501" s="3">
        <v>46217.25</v>
      </c>
      <c r="AN501">
        <v>1</v>
      </c>
      <c r="AO501" s="3"/>
      <c r="AT501" t="b">
        <v>0</v>
      </c>
      <c r="AU501" t="s">
        <v>74</v>
      </c>
      <c r="AV501" t="b">
        <v>1</v>
      </c>
      <c r="AW501" t="b">
        <v>0</v>
      </c>
      <c r="AX501" s="5">
        <v>0</v>
      </c>
      <c r="AY501" s="3"/>
      <c r="AZ501" t="s">
        <v>67</v>
      </c>
      <c r="BA501" t="s">
        <v>67</v>
      </c>
      <c r="BB501" t="s">
        <v>317</v>
      </c>
    </row>
    <row r="502" spans="1:54" x14ac:dyDescent="0.3">
      <c r="A502">
        <v>1</v>
      </c>
      <c r="B502">
        <v>15</v>
      </c>
      <c r="C502" t="s">
        <v>54</v>
      </c>
      <c r="D502" s="3">
        <v>46154.721145833333</v>
      </c>
      <c r="E502" s="8">
        <v>46154</v>
      </c>
      <c r="F502" t="s">
        <v>1858</v>
      </c>
      <c r="G502" t="s">
        <v>56</v>
      </c>
      <c r="H502" t="s">
        <v>1859</v>
      </c>
      <c r="I502" t="s">
        <v>1860</v>
      </c>
      <c r="J502" t="s">
        <v>59</v>
      </c>
      <c r="K502" t="s">
        <v>164</v>
      </c>
      <c r="L502" t="s">
        <v>61</v>
      </c>
      <c r="M502" t="s">
        <v>62</v>
      </c>
      <c r="N502" t="s">
        <v>62</v>
      </c>
      <c r="O502" t="s">
        <v>286</v>
      </c>
      <c r="P502" t="s">
        <v>287</v>
      </c>
      <c r="Q502" s="5">
        <v>4</v>
      </c>
      <c r="R502" s="6">
        <v>63.25</v>
      </c>
      <c r="S502" s="6">
        <v>253</v>
      </c>
      <c r="T502" s="6">
        <v>79.2</v>
      </c>
      <c r="U502" s="3">
        <v>46217.25</v>
      </c>
      <c r="W502" t="s">
        <v>1861</v>
      </c>
      <c r="X502" t="s">
        <v>70</v>
      </c>
      <c r="Y502" t="s">
        <v>68</v>
      </c>
      <c r="Z502" t="s">
        <v>69</v>
      </c>
      <c r="AA502" t="s">
        <v>69</v>
      </c>
      <c r="AB502" t="s">
        <v>67</v>
      </c>
      <c r="AC502" t="s">
        <v>67</v>
      </c>
      <c r="AD502" t="s">
        <v>71</v>
      </c>
      <c r="AE502" t="s">
        <v>77</v>
      </c>
      <c r="AF502" t="s">
        <v>67</v>
      </c>
      <c r="AG502" t="s">
        <v>288</v>
      </c>
      <c r="AH502" t="b">
        <v>0</v>
      </c>
      <c r="AI502" t="b">
        <v>0</v>
      </c>
      <c r="AJ502" t="b">
        <v>0</v>
      </c>
      <c r="AK502" t="b">
        <v>0</v>
      </c>
      <c r="AL502" s="6">
        <v>19.8</v>
      </c>
      <c r="AM502" s="3">
        <v>46217.25</v>
      </c>
      <c r="AN502">
        <v>1</v>
      </c>
      <c r="AO502" s="3"/>
      <c r="AT502" t="b">
        <v>0</v>
      </c>
      <c r="AU502" t="s">
        <v>74</v>
      </c>
      <c r="AV502" t="b">
        <v>1</v>
      </c>
      <c r="AW502" t="b">
        <v>0</v>
      </c>
      <c r="AX502" s="5">
        <v>0</v>
      </c>
      <c r="AY502" s="3"/>
      <c r="AZ502" t="s">
        <v>67</v>
      </c>
      <c r="BA502" t="s">
        <v>67</v>
      </c>
      <c r="BB502" t="s">
        <v>317</v>
      </c>
    </row>
    <row r="503" spans="1:54" x14ac:dyDescent="0.3">
      <c r="A503">
        <v>1</v>
      </c>
      <c r="B503">
        <v>15</v>
      </c>
      <c r="C503" t="s">
        <v>54</v>
      </c>
      <c r="D503" s="3">
        <v>46154.721145833333</v>
      </c>
      <c r="E503" s="8">
        <v>46154</v>
      </c>
      <c r="F503" t="s">
        <v>1858</v>
      </c>
      <c r="G503" t="s">
        <v>56</v>
      </c>
      <c r="H503" t="s">
        <v>1859</v>
      </c>
      <c r="I503" t="s">
        <v>1860</v>
      </c>
      <c r="J503" t="s">
        <v>59</v>
      </c>
      <c r="K503" t="s">
        <v>164</v>
      </c>
      <c r="L503" t="s">
        <v>61</v>
      </c>
      <c r="M503" t="s">
        <v>62</v>
      </c>
      <c r="N503" t="s">
        <v>62</v>
      </c>
      <c r="O503" t="s">
        <v>264</v>
      </c>
      <c r="P503" t="s">
        <v>265</v>
      </c>
      <c r="Q503" s="5">
        <v>4</v>
      </c>
      <c r="R503" s="6">
        <v>100.05</v>
      </c>
      <c r="S503" s="6">
        <v>400.2</v>
      </c>
      <c r="T503" s="6">
        <v>126</v>
      </c>
      <c r="U503" s="3">
        <v>46217.25</v>
      </c>
      <c r="W503" t="s">
        <v>1861</v>
      </c>
      <c r="X503" t="s">
        <v>70</v>
      </c>
      <c r="Y503" t="s">
        <v>68</v>
      </c>
      <c r="Z503" t="s">
        <v>69</v>
      </c>
      <c r="AA503" t="s">
        <v>69</v>
      </c>
      <c r="AB503" t="s">
        <v>67</v>
      </c>
      <c r="AC503" t="s">
        <v>67</v>
      </c>
      <c r="AD503" t="s">
        <v>71</v>
      </c>
      <c r="AE503" t="s">
        <v>77</v>
      </c>
      <c r="AF503" t="s">
        <v>67</v>
      </c>
      <c r="AG503" t="s">
        <v>266</v>
      </c>
      <c r="AH503" t="b">
        <v>0</v>
      </c>
      <c r="AI503" t="b">
        <v>0</v>
      </c>
      <c r="AJ503" t="b">
        <v>0</v>
      </c>
      <c r="AK503" t="b">
        <v>0</v>
      </c>
      <c r="AL503" s="6">
        <v>31.5</v>
      </c>
      <c r="AM503" s="3">
        <v>46217.25</v>
      </c>
      <c r="AN503">
        <v>1</v>
      </c>
      <c r="AO503" s="3"/>
      <c r="AT503" t="b">
        <v>0</v>
      </c>
      <c r="AU503" t="s">
        <v>74</v>
      </c>
      <c r="AV503" t="b">
        <v>1</v>
      </c>
      <c r="AW503" t="b">
        <v>0</v>
      </c>
      <c r="AX503" s="5">
        <v>0</v>
      </c>
      <c r="AY503" s="3"/>
      <c r="AZ503" t="s">
        <v>67</v>
      </c>
      <c r="BA503" t="s">
        <v>67</v>
      </c>
      <c r="BB503" t="s">
        <v>317</v>
      </c>
    </row>
    <row r="504" spans="1:54" x14ac:dyDescent="0.3">
      <c r="A504">
        <v>1</v>
      </c>
      <c r="B504">
        <v>15</v>
      </c>
      <c r="C504" t="s">
        <v>54</v>
      </c>
      <c r="D504" s="3">
        <v>46154.721145833333</v>
      </c>
      <c r="E504" s="8">
        <v>46154</v>
      </c>
      <c r="F504" t="s">
        <v>1858</v>
      </c>
      <c r="G504" t="s">
        <v>56</v>
      </c>
      <c r="H504" t="s">
        <v>1859</v>
      </c>
      <c r="I504" t="s">
        <v>1860</v>
      </c>
      <c r="J504" t="s">
        <v>59</v>
      </c>
      <c r="K504" t="s">
        <v>164</v>
      </c>
      <c r="L504" t="s">
        <v>61</v>
      </c>
      <c r="M504" t="s">
        <v>62</v>
      </c>
      <c r="N504" t="s">
        <v>62</v>
      </c>
      <c r="O504" t="s">
        <v>1862</v>
      </c>
      <c r="P504" t="s">
        <v>1863</v>
      </c>
      <c r="Q504" s="5">
        <v>4</v>
      </c>
      <c r="R504" s="6">
        <v>89.7</v>
      </c>
      <c r="S504" s="6">
        <v>358.8</v>
      </c>
      <c r="T504" s="6">
        <v>113.4</v>
      </c>
      <c r="U504" s="3">
        <v>46217.25</v>
      </c>
      <c r="W504" t="s">
        <v>1861</v>
      </c>
      <c r="X504" t="s">
        <v>70</v>
      </c>
      <c r="Y504" t="s">
        <v>68</v>
      </c>
      <c r="Z504" t="s">
        <v>69</v>
      </c>
      <c r="AA504" t="s">
        <v>69</v>
      </c>
      <c r="AB504" t="s">
        <v>67</v>
      </c>
      <c r="AC504" t="s">
        <v>67</v>
      </c>
      <c r="AD504" t="s">
        <v>71</v>
      </c>
      <c r="AE504" t="s">
        <v>77</v>
      </c>
      <c r="AF504" t="s">
        <v>67</v>
      </c>
      <c r="AG504" t="s">
        <v>1864</v>
      </c>
      <c r="AH504" t="b">
        <v>0</v>
      </c>
      <c r="AI504" t="b">
        <v>0</v>
      </c>
      <c r="AJ504" t="b">
        <v>0</v>
      </c>
      <c r="AK504" t="b">
        <v>0</v>
      </c>
      <c r="AL504" s="6">
        <v>28.35</v>
      </c>
      <c r="AM504" s="3">
        <v>46217.25</v>
      </c>
      <c r="AN504">
        <v>1</v>
      </c>
      <c r="AO504" s="3"/>
      <c r="AT504" t="b">
        <v>0</v>
      </c>
      <c r="AU504" t="s">
        <v>74</v>
      </c>
      <c r="AV504" t="b">
        <v>1</v>
      </c>
      <c r="AW504" t="b">
        <v>0</v>
      </c>
      <c r="AX504" s="5">
        <v>0</v>
      </c>
      <c r="AY504" s="3"/>
      <c r="AZ504" t="s">
        <v>67</v>
      </c>
      <c r="BA504" t="s">
        <v>67</v>
      </c>
      <c r="BB504" t="s">
        <v>317</v>
      </c>
    </row>
    <row r="505" spans="1:54" x14ac:dyDescent="0.3">
      <c r="A505">
        <v>1</v>
      </c>
      <c r="B505">
        <v>15</v>
      </c>
      <c r="C505" t="s">
        <v>54</v>
      </c>
      <c r="D505" s="3">
        <v>46154.721145833333</v>
      </c>
      <c r="E505" s="8">
        <v>46154</v>
      </c>
      <c r="F505" t="s">
        <v>1858</v>
      </c>
      <c r="G505" t="s">
        <v>56</v>
      </c>
      <c r="H505" t="s">
        <v>1859</v>
      </c>
      <c r="I505" t="s">
        <v>1860</v>
      </c>
      <c r="J505" t="s">
        <v>59</v>
      </c>
      <c r="K505" t="s">
        <v>164</v>
      </c>
      <c r="L505" t="s">
        <v>61</v>
      </c>
      <c r="M505" t="s">
        <v>62</v>
      </c>
      <c r="N505" t="s">
        <v>62</v>
      </c>
      <c r="O505" t="s">
        <v>292</v>
      </c>
      <c r="P505" t="s">
        <v>293</v>
      </c>
      <c r="Q505" s="5">
        <v>2</v>
      </c>
      <c r="R505" s="6">
        <v>340.12</v>
      </c>
      <c r="S505" s="6">
        <v>680.24</v>
      </c>
      <c r="T505" s="6">
        <v>215.1</v>
      </c>
      <c r="U505" s="3">
        <v>46217.25</v>
      </c>
      <c r="W505" t="s">
        <v>1861</v>
      </c>
      <c r="X505" t="s">
        <v>70</v>
      </c>
      <c r="Y505" t="s">
        <v>68</v>
      </c>
      <c r="Z505" t="s">
        <v>69</v>
      </c>
      <c r="AA505" t="s">
        <v>69</v>
      </c>
      <c r="AB505" t="s">
        <v>67</v>
      </c>
      <c r="AC505" t="s">
        <v>67</v>
      </c>
      <c r="AD505" t="s">
        <v>71</v>
      </c>
      <c r="AE505" t="s">
        <v>77</v>
      </c>
      <c r="AF505" t="s">
        <v>67</v>
      </c>
      <c r="AG505" t="s">
        <v>294</v>
      </c>
      <c r="AH505" t="b">
        <v>0</v>
      </c>
      <c r="AI505" t="b">
        <v>0</v>
      </c>
      <c r="AJ505" t="b">
        <v>0</v>
      </c>
      <c r="AK505" t="b">
        <v>0</v>
      </c>
      <c r="AL505" s="6">
        <v>107.55</v>
      </c>
      <c r="AM505" s="3">
        <v>46217.25</v>
      </c>
      <c r="AN505">
        <v>1</v>
      </c>
      <c r="AO505" s="3"/>
      <c r="AT505" t="b">
        <v>0</v>
      </c>
      <c r="AU505" t="s">
        <v>74</v>
      </c>
      <c r="AV505" t="b">
        <v>1</v>
      </c>
      <c r="AW505" t="b">
        <v>0</v>
      </c>
      <c r="AX505" s="5">
        <v>0</v>
      </c>
      <c r="AY505" s="3"/>
      <c r="AZ505" t="s">
        <v>67</v>
      </c>
      <c r="BA505" t="s">
        <v>67</v>
      </c>
      <c r="BB505" t="s">
        <v>317</v>
      </c>
    </row>
    <row r="506" spans="1:54" x14ac:dyDescent="0.3">
      <c r="A506">
        <v>1</v>
      </c>
      <c r="B506">
        <v>15</v>
      </c>
      <c r="C506" t="s">
        <v>54</v>
      </c>
      <c r="D506" s="3">
        <v>46154.721145833333</v>
      </c>
      <c r="E506" s="8">
        <v>46154</v>
      </c>
      <c r="F506" t="s">
        <v>1858</v>
      </c>
      <c r="G506" t="s">
        <v>56</v>
      </c>
      <c r="H506" t="s">
        <v>1859</v>
      </c>
      <c r="I506" t="s">
        <v>1860</v>
      </c>
      <c r="J506" t="s">
        <v>59</v>
      </c>
      <c r="K506" t="s">
        <v>164</v>
      </c>
      <c r="L506" t="s">
        <v>61</v>
      </c>
      <c r="M506" t="s">
        <v>62</v>
      </c>
      <c r="N506" t="s">
        <v>62</v>
      </c>
      <c r="O506" t="s">
        <v>289</v>
      </c>
      <c r="P506" t="s">
        <v>290</v>
      </c>
      <c r="Q506" s="5">
        <v>2</v>
      </c>
      <c r="R506" s="6">
        <v>455.4</v>
      </c>
      <c r="S506" s="6">
        <v>910.8</v>
      </c>
      <c r="T506" s="6">
        <v>288</v>
      </c>
      <c r="U506" s="3">
        <v>46217.25</v>
      </c>
      <c r="W506" t="s">
        <v>1861</v>
      </c>
      <c r="X506" t="s">
        <v>70</v>
      </c>
      <c r="Y506" t="s">
        <v>68</v>
      </c>
      <c r="Z506" t="s">
        <v>69</v>
      </c>
      <c r="AA506" t="s">
        <v>69</v>
      </c>
      <c r="AB506" t="s">
        <v>67</v>
      </c>
      <c r="AC506" t="s">
        <v>67</v>
      </c>
      <c r="AD506" t="s">
        <v>71</v>
      </c>
      <c r="AE506" t="s">
        <v>77</v>
      </c>
      <c r="AF506" t="s">
        <v>67</v>
      </c>
      <c r="AG506" t="s">
        <v>291</v>
      </c>
      <c r="AH506" t="b">
        <v>0</v>
      </c>
      <c r="AI506" t="b">
        <v>0</v>
      </c>
      <c r="AJ506" t="b">
        <v>0</v>
      </c>
      <c r="AK506" t="b">
        <v>0</v>
      </c>
      <c r="AL506" s="6">
        <v>144</v>
      </c>
      <c r="AM506" s="3">
        <v>46217.25</v>
      </c>
      <c r="AN506">
        <v>1</v>
      </c>
      <c r="AO506" s="3"/>
      <c r="AT506" t="b">
        <v>0</v>
      </c>
      <c r="AU506" t="s">
        <v>74</v>
      </c>
      <c r="AV506" t="b">
        <v>1</v>
      </c>
      <c r="AW506" t="b">
        <v>0</v>
      </c>
      <c r="AX506" s="5">
        <v>0</v>
      </c>
      <c r="AY506" s="3"/>
      <c r="AZ506" t="s">
        <v>67</v>
      </c>
      <c r="BA506" t="s">
        <v>67</v>
      </c>
      <c r="BB506" t="s">
        <v>317</v>
      </c>
    </row>
    <row r="507" spans="1:54" x14ac:dyDescent="0.3">
      <c r="A507">
        <v>1</v>
      </c>
      <c r="B507">
        <v>15</v>
      </c>
      <c r="C507" t="s">
        <v>54</v>
      </c>
      <c r="D507" s="3">
        <v>46154.721145833333</v>
      </c>
      <c r="E507" s="8">
        <v>46154</v>
      </c>
      <c r="F507" t="s">
        <v>1858</v>
      </c>
      <c r="G507" t="s">
        <v>56</v>
      </c>
      <c r="H507" t="s">
        <v>1859</v>
      </c>
      <c r="I507" t="s">
        <v>1860</v>
      </c>
      <c r="J507" t="s">
        <v>59</v>
      </c>
      <c r="K507" t="s">
        <v>164</v>
      </c>
      <c r="L507" t="s">
        <v>61</v>
      </c>
      <c r="M507" t="s">
        <v>62</v>
      </c>
      <c r="N507" t="s">
        <v>62</v>
      </c>
      <c r="O507" t="s">
        <v>1016</v>
      </c>
      <c r="P507" t="s">
        <v>1017</v>
      </c>
      <c r="Q507" s="5">
        <v>4</v>
      </c>
      <c r="R507" s="6">
        <v>33</v>
      </c>
      <c r="S507" s="6">
        <v>132</v>
      </c>
      <c r="T507" s="6">
        <v>46.8</v>
      </c>
      <c r="U507" s="3">
        <v>46217.25</v>
      </c>
      <c r="W507" t="s">
        <v>1861</v>
      </c>
      <c r="X507" t="s">
        <v>70</v>
      </c>
      <c r="Y507" t="s">
        <v>68</v>
      </c>
      <c r="Z507" t="s">
        <v>69</v>
      </c>
      <c r="AA507" t="s">
        <v>69</v>
      </c>
      <c r="AB507" t="s">
        <v>67</v>
      </c>
      <c r="AC507" t="s">
        <v>67</v>
      </c>
      <c r="AD507" t="s">
        <v>71</v>
      </c>
      <c r="AE507" t="s">
        <v>77</v>
      </c>
      <c r="AF507" t="s">
        <v>67</v>
      </c>
      <c r="AG507" t="s">
        <v>1018</v>
      </c>
      <c r="AH507" t="b">
        <v>0</v>
      </c>
      <c r="AI507" t="b">
        <v>0</v>
      </c>
      <c r="AJ507" t="b">
        <v>0</v>
      </c>
      <c r="AK507" t="b">
        <v>0</v>
      </c>
      <c r="AL507" s="6">
        <v>11.7</v>
      </c>
      <c r="AM507" s="3">
        <v>46217.25</v>
      </c>
      <c r="AN507">
        <v>1</v>
      </c>
      <c r="AO507" s="3"/>
      <c r="AT507" t="b">
        <v>0</v>
      </c>
      <c r="AU507" t="s">
        <v>74</v>
      </c>
      <c r="AV507" t="b">
        <v>1</v>
      </c>
      <c r="AW507" t="b">
        <v>0</v>
      </c>
      <c r="AX507" s="5">
        <v>0</v>
      </c>
      <c r="AY507" s="3"/>
      <c r="AZ507" t="s">
        <v>67</v>
      </c>
      <c r="BA507" t="s">
        <v>67</v>
      </c>
      <c r="BB507" t="s">
        <v>317</v>
      </c>
    </row>
    <row r="508" spans="1:54" x14ac:dyDescent="0.3">
      <c r="A508">
        <v>1</v>
      </c>
      <c r="B508">
        <v>15</v>
      </c>
      <c r="C508" t="s">
        <v>54</v>
      </c>
      <c r="D508" s="3">
        <v>46154.721145833333</v>
      </c>
      <c r="E508" s="8">
        <v>46154</v>
      </c>
      <c r="F508" t="s">
        <v>1858</v>
      </c>
      <c r="G508" t="s">
        <v>56</v>
      </c>
      <c r="H508" t="s">
        <v>1859</v>
      </c>
      <c r="I508" t="s">
        <v>1860</v>
      </c>
      <c r="J508" t="s">
        <v>59</v>
      </c>
      <c r="K508" t="s">
        <v>164</v>
      </c>
      <c r="L508" t="s">
        <v>61</v>
      </c>
      <c r="M508" t="s">
        <v>62</v>
      </c>
      <c r="N508" t="s">
        <v>62</v>
      </c>
      <c r="O508" t="s">
        <v>261</v>
      </c>
      <c r="P508" t="s">
        <v>262</v>
      </c>
      <c r="Q508" s="5">
        <v>4</v>
      </c>
      <c r="R508" s="6">
        <v>205.85</v>
      </c>
      <c r="S508" s="6">
        <v>823.4</v>
      </c>
      <c r="T508" s="6">
        <v>259.2</v>
      </c>
      <c r="U508" s="3">
        <v>46217.25</v>
      </c>
      <c r="W508" t="s">
        <v>1861</v>
      </c>
      <c r="X508" t="s">
        <v>70</v>
      </c>
      <c r="Y508" t="s">
        <v>68</v>
      </c>
      <c r="Z508" t="s">
        <v>69</v>
      </c>
      <c r="AA508" t="s">
        <v>69</v>
      </c>
      <c r="AB508" t="s">
        <v>67</v>
      </c>
      <c r="AC508" t="s">
        <v>67</v>
      </c>
      <c r="AD508" t="s">
        <v>71</v>
      </c>
      <c r="AE508" t="s">
        <v>77</v>
      </c>
      <c r="AF508" t="s">
        <v>67</v>
      </c>
      <c r="AG508" t="s">
        <v>263</v>
      </c>
      <c r="AH508" t="b">
        <v>0</v>
      </c>
      <c r="AI508" t="b">
        <v>0</v>
      </c>
      <c r="AJ508" t="b">
        <v>0</v>
      </c>
      <c r="AK508" t="b">
        <v>0</v>
      </c>
      <c r="AL508" s="6">
        <v>64.8</v>
      </c>
      <c r="AM508" s="3">
        <v>46217.25</v>
      </c>
      <c r="AN508">
        <v>1</v>
      </c>
      <c r="AO508" s="3"/>
      <c r="AT508" t="b">
        <v>0</v>
      </c>
      <c r="AU508" t="s">
        <v>74</v>
      </c>
      <c r="AV508" t="b">
        <v>1</v>
      </c>
      <c r="AW508" t="b">
        <v>0</v>
      </c>
      <c r="AX508" s="5">
        <v>0</v>
      </c>
      <c r="AY508" s="3"/>
      <c r="AZ508" t="s">
        <v>67</v>
      </c>
      <c r="BA508" t="s">
        <v>67</v>
      </c>
      <c r="BB508" t="s">
        <v>317</v>
      </c>
    </row>
    <row r="509" spans="1:54" x14ac:dyDescent="0.3">
      <c r="A509">
        <v>1</v>
      </c>
      <c r="B509">
        <v>15</v>
      </c>
      <c r="C509" t="s">
        <v>54</v>
      </c>
      <c r="D509" s="3">
        <v>46154.721145833333</v>
      </c>
      <c r="E509" s="8">
        <v>46154</v>
      </c>
      <c r="F509" t="s">
        <v>1858</v>
      </c>
      <c r="G509" t="s">
        <v>56</v>
      </c>
      <c r="H509" t="s">
        <v>1859</v>
      </c>
      <c r="I509" t="s">
        <v>1860</v>
      </c>
      <c r="J509" t="s">
        <v>59</v>
      </c>
      <c r="K509" t="s">
        <v>164</v>
      </c>
      <c r="L509" t="s">
        <v>61</v>
      </c>
      <c r="M509" t="s">
        <v>62</v>
      </c>
      <c r="N509" t="s">
        <v>62</v>
      </c>
      <c r="O509" t="s">
        <v>1865</v>
      </c>
      <c r="P509" t="s">
        <v>1866</v>
      </c>
      <c r="Q509" s="5">
        <v>2</v>
      </c>
      <c r="R509" s="6">
        <v>570</v>
      </c>
      <c r="S509" s="6">
        <v>1140</v>
      </c>
      <c r="T509" s="6">
        <v>400.5</v>
      </c>
      <c r="U509" s="3">
        <v>46217.25</v>
      </c>
      <c r="W509" t="s">
        <v>1861</v>
      </c>
      <c r="X509" t="s">
        <v>70</v>
      </c>
      <c r="Y509" t="s">
        <v>68</v>
      </c>
      <c r="Z509" t="s">
        <v>69</v>
      </c>
      <c r="AA509" t="s">
        <v>69</v>
      </c>
      <c r="AB509" t="s">
        <v>67</v>
      </c>
      <c r="AC509" t="s">
        <v>67</v>
      </c>
      <c r="AD509" t="s">
        <v>71</v>
      </c>
      <c r="AE509" t="s">
        <v>77</v>
      </c>
      <c r="AF509" t="s">
        <v>67</v>
      </c>
      <c r="AG509" t="s">
        <v>1867</v>
      </c>
      <c r="AH509" t="b">
        <v>0</v>
      </c>
      <c r="AI509" t="b">
        <v>0</v>
      </c>
      <c r="AJ509" t="b">
        <v>0</v>
      </c>
      <c r="AK509" t="b">
        <v>0</v>
      </c>
      <c r="AL509" s="6">
        <v>200.25</v>
      </c>
      <c r="AM509" s="3">
        <v>46217.25</v>
      </c>
      <c r="AN509">
        <v>1</v>
      </c>
      <c r="AO509" s="3"/>
      <c r="AT509" t="b">
        <v>0</v>
      </c>
      <c r="AU509" t="s">
        <v>74</v>
      </c>
      <c r="AV509" t="b">
        <v>1</v>
      </c>
      <c r="AW509" t="b">
        <v>0</v>
      </c>
      <c r="AX509" s="5">
        <v>0</v>
      </c>
      <c r="AY509" s="3"/>
      <c r="AZ509" t="s">
        <v>67</v>
      </c>
      <c r="BA509" t="s">
        <v>67</v>
      </c>
      <c r="BB509" t="s">
        <v>317</v>
      </c>
    </row>
    <row r="510" spans="1:54" x14ac:dyDescent="0.3">
      <c r="A510">
        <v>1</v>
      </c>
      <c r="B510">
        <v>15</v>
      </c>
      <c r="C510" t="s">
        <v>54</v>
      </c>
      <c r="D510" s="3">
        <v>46154.721145833333</v>
      </c>
      <c r="E510" s="8">
        <v>46154</v>
      </c>
      <c r="F510" t="s">
        <v>1858</v>
      </c>
      <c r="G510" t="s">
        <v>56</v>
      </c>
      <c r="H510" t="s">
        <v>1859</v>
      </c>
      <c r="I510" t="s">
        <v>1860</v>
      </c>
      <c r="J510" t="s">
        <v>59</v>
      </c>
      <c r="K510" t="s">
        <v>164</v>
      </c>
      <c r="L510" t="s">
        <v>61</v>
      </c>
      <c r="M510" t="s">
        <v>62</v>
      </c>
      <c r="N510" t="s">
        <v>62</v>
      </c>
      <c r="O510" t="s">
        <v>172</v>
      </c>
      <c r="P510" t="s">
        <v>173</v>
      </c>
      <c r="Q510" s="5">
        <v>2</v>
      </c>
      <c r="R510" s="6">
        <v>570</v>
      </c>
      <c r="S510" s="6">
        <v>1140</v>
      </c>
      <c r="T510" s="6">
        <v>400.5</v>
      </c>
      <c r="U510" s="3">
        <v>46217.25</v>
      </c>
      <c r="W510" t="s">
        <v>1861</v>
      </c>
      <c r="X510" t="s">
        <v>70</v>
      </c>
      <c r="Y510" t="s">
        <v>68</v>
      </c>
      <c r="Z510" t="s">
        <v>69</v>
      </c>
      <c r="AA510" t="s">
        <v>69</v>
      </c>
      <c r="AB510" t="s">
        <v>67</v>
      </c>
      <c r="AC510" t="s">
        <v>67</v>
      </c>
      <c r="AD510" t="s">
        <v>71</v>
      </c>
      <c r="AE510" t="s">
        <v>77</v>
      </c>
      <c r="AF510" t="s">
        <v>67</v>
      </c>
      <c r="AG510" t="s">
        <v>174</v>
      </c>
      <c r="AH510" t="b">
        <v>0</v>
      </c>
      <c r="AI510" t="b">
        <v>0</v>
      </c>
      <c r="AJ510" t="b">
        <v>0</v>
      </c>
      <c r="AK510" t="b">
        <v>0</v>
      </c>
      <c r="AL510" s="6">
        <v>200.25</v>
      </c>
      <c r="AM510" s="3">
        <v>46217.25</v>
      </c>
      <c r="AN510">
        <v>1</v>
      </c>
      <c r="AO510" s="3"/>
      <c r="AT510" t="b">
        <v>0</v>
      </c>
      <c r="AU510" t="s">
        <v>74</v>
      </c>
      <c r="AV510" t="b">
        <v>1</v>
      </c>
      <c r="AW510" t="b">
        <v>0</v>
      </c>
      <c r="AX510" s="5">
        <v>0</v>
      </c>
      <c r="AY510" s="3"/>
      <c r="AZ510" t="s">
        <v>67</v>
      </c>
      <c r="BA510" t="s">
        <v>67</v>
      </c>
      <c r="BB510" t="s">
        <v>317</v>
      </c>
    </row>
    <row r="511" spans="1:54" x14ac:dyDescent="0.3">
      <c r="A511">
        <v>1</v>
      </c>
      <c r="B511">
        <v>15</v>
      </c>
      <c r="C511" t="s">
        <v>54</v>
      </c>
      <c r="D511" s="3">
        <v>46156.688090277778</v>
      </c>
      <c r="E511" s="8">
        <v>46188</v>
      </c>
      <c r="F511" t="s">
        <v>1868</v>
      </c>
      <c r="G511" t="s">
        <v>56</v>
      </c>
      <c r="H511" t="s">
        <v>254</v>
      </c>
      <c r="I511" t="s">
        <v>255</v>
      </c>
      <c r="J511" t="s">
        <v>59</v>
      </c>
      <c r="L511" t="s">
        <v>699</v>
      </c>
      <c r="M511" t="s">
        <v>62</v>
      </c>
      <c r="O511" t="s">
        <v>82</v>
      </c>
      <c r="P511" t="s">
        <v>83</v>
      </c>
      <c r="Q511" s="5">
        <v>1</v>
      </c>
      <c r="R511" s="6">
        <v>140</v>
      </c>
      <c r="S511" s="6">
        <v>140</v>
      </c>
      <c r="T511" s="6">
        <v>93.1</v>
      </c>
      <c r="U511" s="3">
        <v>46300.458333333343</v>
      </c>
      <c r="W511" t="s">
        <v>256</v>
      </c>
      <c r="X511" t="s">
        <v>70</v>
      </c>
      <c r="Y511" t="s">
        <v>68</v>
      </c>
      <c r="Z511" t="s">
        <v>521</v>
      </c>
      <c r="AA511" t="s">
        <v>522</v>
      </c>
      <c r="AB511" t="s">
        <v>67</v>
      </c>
      <c r="AC511" t="s">
        <v>70</v>
      </c>
      <c r="AD511" t="s">
        <v>71</v>
      </c>
      <c r="AE511" t="s">
        <v>84</v>
      </c>
      <c r="AF511" t="s">
        <v>67</v>
      </c>
      <c r="AG511" t="s">
        <v>82</v>
      </c>
      <c r="AH511" t="b">
        <v>0</v>
      </c>
      <c r="AI511" t="b">
        <v>0</v>
      </c>
      <c r="AJ511" t="b">
        <v>0</v>
      </c>
      <c r="AK511" t="b">
        <v>0</v>
      </c>
      <c r="AL511" s="6">
        <v>93.1</v>
      </c>
      <c r="AM511" s="3">
        <v>46300.458333333343</v>
      </c>
      <c r="AN511">
        <v>1</v>
      </c>
      <c r="AO511" s="3"/>
      <c r="AT511" t="b">
        <v>0</v>
      </c>
      <c r="AU511" t="s">
        <v>74</v>
      </c>
      <c r="AV511" t="b">
        <v>1</v>
      </c>
      <c r="AW511" t="b">
        <v>0</v>
      </c>
      <c r="AX511" s="5">
        <v>0</v>
      </c>
      <c r="AY511" s="3"/>
      <c r="AZ511" t="s">
        <v>67</v>
      </c>
      <c r="BA511" t="s">
        <v>67</v>
      </c>
      <c r="BB511" t="s">
        <v>317</v>
      </c>
    </row>
    <row r="512" spans="1:54" x14ac:dyDescent="0.3">
      <c r="A512">
        <v>1</v>
      </c>
      <c r="B512">
        <v>15</v>
      </c>
      <c r="C512" t="s">
        <v>54</v>
      </c>
      <c r="D512" s="3">
        <v>46156.688090277778</v>
      </c>
      <c r="E512" s="8">
        <v>46188</v>
      </c>
      <c r="F512" t="s">
        <v>1868</v>
      </c>
      <c r="G512" t="s">
        <v>56</v>
      </c>
      <c r="H512" t="s">
        <v>254</v>
      </c>
      <c r="I512" t="s">
        <v>255</v>
      </c>
      <c r="J512" t="s">
        <v>59</v>
      </c>
      <c r="L512" t="s">
        <v>699</v>
      </c>
      <c r="M512" t="s">
        <v>62</v>
      </c>
      <c r="O512" t="s">
        <v>1869</v>
      </c>
      <c r="P512" t="s">
        <v>1870</v>
      </c>
      <c r="Q512" s="5">
        <v>2</v>
      </c>
      <c r="R512" s="6">
        <v>140</v>
      </c>
      <c r="S512" s="6">
        <v>280</v>
      </c>
      <c r="T512" s="6">
        <v>174</v>
      </c>
      <c r="U512" s="3">
        <v>46300.458333333343</v>
      </c>
      <c r="W512" t="s">
        <v>256</v>
      </c>
      <c r="X512" t="s">
        <v>70</v>
      </c>
      <c r="Y512" t="s">
        <v>23</v>
      </c>
      <c r="Z512" t="s">
        <v>521</v>
      </c>
      <c r="AA512" t="s">
        <v>522</v>
      </c>
      <c r="AB512" t="s">
        <v>67</v>
      </c>
      <c r="AC512" t="s">
        <v>70</v>
      </c>
      <c r="AD512" t="s">
        <v>71</v>
      </c>
      <c r="AE512" t="s">
        <v>102</v>
      </c>
      <c r="AF512" t="s">
        <v>67</v>
      </c>
      <c r="AH512" t="b">
        <v>0</v>
      </c>
      <c r="AI512" t="b">
        <v>0</v>
      </c>
      <c r="AJ512" t="b">
        <v>0</v>
      </c>
      <c r="AK512" t="b">
        <v>0</v>
      </c>
      <c r="AL512" s="6">
        <v>87</v>
      </c>
      <c r="AM512" s="3">
        <v>46300.458333333343</v>
      </c>
      <c r="AN512">
        <v>1</v>
      </c>
      <c r="AO512" s="3"/>
      <c r="AT512" t="b">
        <v>0</v>
      </c>
      <c r="AU512" t="s">
        <v>74</v>
      </c>
      <c r="AV512" t="b">
        <v>1</v>
      </c>
      <c r="AW512" t="b">
        <v>0</v>
      </c>
      <c r="AX512" s="5">
        <v>0</v>
      </c>
      <c r="AY512" s="3"/>
      <c r="AZ512" t="s">
        <v>67</v>
      </c>
      <c r="BA512" t="s">
        <v>67</v>
      </c>
      <c r="BB512" t="s">
        <v>317</v>
      </c>
    </row>
    <row r="513" spans="1:54" x14ac:dyDescent="0.3">
      <c r="A513">
        <v>1</v>
      </c>
      <c r="B513">
        <v>15</v>
      </c>
      <c r="C513" t="s">
        <v>54</v>
      </c>
      <c r="D513" s="3">
        <v>46156.688090277778</v>
      </c>
      <c r="E513" s="8">
        <v>46188</v>
      </c>
      <c r="F513" t="s">
        <v>1868</v>
      </c>
      <c r="G513" t="s">
        <v>56</v>
      </c>
      <c r="H513" t="s">
        <v>254</v>
      </c>
      <c r="I513" t="s">
        <v>255</v>
      </c>
      <c r="J513" t="s">
        <v>59</v>
      </c>
      <c r="L513" t="s">
        <v>699</v>
      </c>
      <c r="M513" t="s">
        <v>62</v>
      </c>
      <c r="O513" t="s">
        <v>752</v>
      </c>
      <c r="P513" t="s">
        <v>753</v>
      </c>
      <c r="Q513" s="5">
        <v>1</v>
      </c>
      <c r="R513" s="6">
        <v>80</v>
      </c>
      <c r="S513" s="6">
        <v>80</v>
      </c>
      <c r="T513" s="6">
        <v>0</v>
      </c>
      <c r="U513" s="3">
        <v>46300.458333333343</v>
      </c>
      <c r="W513" t="s">
        <v>256</v>
      </c>
      <c r="X513" t="s">
        <v>70</v>
      </c>
      <c r="Y513" t="s">
        <v>23</v>
      </c>
      <c r="Z513" t="s">
        <v>521</v>
      </c>
      <c r="AA513" t="s">
        <v>522</v>
      </c>
      <c r="AB513" t="s">
        <v>67</v>
      </c>
      <c r="AC513" t="s">
        <v>70</v>
      </c>
      <c r="AD513" t="s">
        <v>71</v>
      </c>
      <c r="AE513" t="s">
        <v>102</v>
      </c>
      <c r="AF513" t="s">
        <v>67</v>
      </c>
      <c r="AG513" t="s">
        <v>752</v>
      </c>
      <c r="AH513" t="b">
        <v>0</v>
      </c>
      <c r="AI513" t="b">
        <v>0</v>
      </c>
      <c r="AJ513" t="b">
        <v>0</v>
      </c>
      <c r="AK513" t="b">
        <v>0</v>
      </c>
      <c r="AL513" s="6">
        <v>0</v>
      </c>
      <c r="AM513" s="3">
        <v>46300.458333333343</v>
      </c>
      <c r="AN513">
        <v>1</v>
      </c>
      <c r="AO513" s="3"/>
      <c r="AT513" t="b">
        <v>0</v>
      </c>
      <c r="AU513" t="s">
        <v>74</v>
      </c>
      <c r="AV513" t="b">
        <v>1</v>
      </c>
      <c r="AW513" t="b">
        <v>0</v>
      </c>
      <c r="AX513" s="5">
        <v>0</v>
      </c>
      <c r="AY513" s="3"/>
      <c r="AZ513" t="s">
        <v>67</v>
      </c>
      <c r="BA513" t="s">
        <v>67</v>
      </c>
      <c r="BB513" t="s">
        <v>317</v>
      </c>
    </row>
    <row r="514" spans="1:54" x14ac:dyDescent="0.3">
      <c r="A514">
        <v>1</v>
      </c>
      <c r="B514">
        <v>15</v>
      </c>
      <c r="C514" t="s">
        <v>54</v>
      </c>
      <c r="D514" s="3">
        <v>46156.688090277778</v>
      </c>
      <c r="E514" s="8">
        <v>46188</v>
      </c>
      <c r="F514" t="s">
        <v>1868</v>
      </c>
      <c r="G514" t="s">
        <v>56</v>
      </c>
      <c r="H514" t="s">
        <v>254</v>
      </c>
      <c r="I514" t="s">
        <v>255</v>
      </c>
      <c r="J514" t="s">
        <v>59</v>
      </c>
      <c r="L514" t="s">
        <v>699</v>
      </c>
      <c r="M514" t="s">
        <v>62</v>
      </c>
      <c r="O514" t="s">
        <v>88</v>
      </c>
      <c r="P514" t="s">
        <v>89</v>
      </c>
      <c r="Q514" s="5">
        <v>2</v>
      </c>
      <c r="R514" s="6">
        <v>357.2</v>
      </c>
      <c r="S514" s="6">
        <v>714.4</v>
      </c>
      <c r="T514" s="6">
        <v>225.9</v>
      </c>
      <c r="U514" s="3">
        <v>46300.458333333343</v>
      </c>
      <c r="W514" t="s">
        <v>256</v>
      </c>
      <c r="X514" t="s">
        <v>70</v>
      </c>
      <c r="Y514" t="s">
        <v>68</v>
      </c>
      <c r="Z514" t="s">
        <v>521</v>
      </c>
      <c r="AA514" t="s">
        <v>522</v>
      </c>
      <c r="AB514" t="s">
        <v>67</v>
      </c>
      <c r="AC514" t="s">
        <v>70</v>
      </c>
      <c r="AD514" t="s">
        <v>71</v>
      </c>
      <c r="AE514" t="s">
        <v>77</v>
      </c>
      <c r="AF514" t="s">
        <v>67</v>
      </c>
      <c r="AG514" t="s">
        <v>90</v>
      </c>
      <c r="AH514" t="b">
        <v>0</v>
      </c>
      <c r="AI514" t="b">
        <v>0</v>
      </c>
      <c r="AJ514" t="b">
        <v>0</v>
      </c>
      <c r="AK514" t="b">
        <v>0</v>
      </c>
      <c r="AL514" s="6">
        <v>112.95</v>
      </c>
      <c r="AM514" s="3">
        <v>46300.458333333343</v>
      </c>
      <c r="AN514">
        <v>1</v>
      </c>
      <c r="AO514" s="3"/>
      <c r="AT514" t="b">
        <v>0</v>
      </c>
      <c r="AU514" t="s">
        <v>74</v>
      </c>
      <c r="AV514" t="b">
        <v>1</v>
      </c>
      <c r="AW514" t="b">
        <v>0</v>
      </c>
      <c r="AX514" s="5">
        <v>0</v>
      </c>
      <c r="AY514" s="3"/>
      <c r="AZ514" t="s">
        <v>67</v>
      </c>
      <c r="BA514" t="s">
        <v>67</v>
      </c>
      <c r="BB514" t="s">
        <v>317</v>
      </c>
    </row>
    <row r="515" spans="1:54" x14ac:dyDescent="0.3">
      <c r="A515">
        <v>1</v>
      </c>
      <c r="B515">
        <v>15</v>
      </c>
      <c r="C515" t="s">
        <v>54</v>
      </c>
      <c r="D515" s="3">
        <v>46156.688090277778</v>
      </c>
      <c r="E515" s="8">
        <v>46188</v>
      </c>
      <c r="F515" t="s">
        <v>1868</v>
      </c>
      <c r="G515" t="s">
        <v>56</v>
      </c>
      <c r="H515" t="s">
        <v>254</v>
      </c>
      <c r="I515" t="s">
        <v>255</v>
      </c>
      <c r="J515" t="s">
        <v>59</v>
      </c>
      <c r="L515" t="s">
        <v>699</v>
      </c>
      <c r="M515" t="s">
        <v>62</v>
      </c>
      <c r="O515" t="s">
        <v>1016</v>
      </c>
      <c r="P515" t="s">
        <v>1017</v>
      </c>
      <c r="Q515" s="5">
        <v>2</v>
      </c>
      <c r="R515" s="6">
        <v>33</v>
      </c>
      <c r="S515" s="6">
        <v>66</v>
      </c>
      <c r="T515" s="6">
        <v>23.4</v>
      </c>
      <c r="U515" s="3">
        <v>46300.458333333343</v>
      </c>
      <c r="W515" t="s">
        <v>256</v>
      </c>
      <c r="X515" t="s">
        <v>70</v>
      </c>
      <c r="Y515" t="s">
        <v>68</v>
      </c>
      <c r="Z515" t="s">
        <v>521</v>
      </c>
      <c r="AA515" t="s">
        <v>522</v>
      </c>
      <c r="AB515" t="s">
        <v>67</v>
      </c>
      <c r="AC515" t="s">
        <v>70</v>
      </c>
      <c r="AD515" t="s">
        <v>71</v>
      </c>
      <c r="AE515" t="s">
        <v>77</v>
      </c>
      <c r="AF515" t="s">
        <v>67</v>
      </c>
      <c r="AG515" t="s">
        <v>1018</v>
      </c>
      <c r="AH515" t="b">
        <v>0</v>
      </c>
      <c r="AI515" t="b">
        <v>0</v>
      </c>
      <c r="AJ515" t="b">
        <v>0</v>
      </c>
      <c r="AK515" t="b">
        <v>0</v>
      </c>
      <c r="AL515" s="6">
        <v>11.7</v>
      </c>
      <c r="AM515" s="3">
        <v>46300.458333333343</v>
      </c>
      <c r="AN515">
        <v>1</v>
      </c>
      <c r="AO515" s="3"/>
      <c r="AT515" t="b">
        <v>0</v>
      </c>
      <c r="AU515" t="s">
        <v>74</v>
      </c>
      <c r="AV515" t="b">
        <v>1</v>
      </c>
      <c r="AW515" t="b">
        <v>0</v>
      </c>
      <c r="AX515" s="5">
        <v>0</v>
      </c>
      <c r="AY515" s="3"/>
      <c r="AZ515" t="s">
        <v>67</v>
      </c>
      <c r="BA515" t="s">
        <v>67</v>
      </c>
      <c r="BB515" t="s">
        <v>317</v>
      </c>
    </row>
    <row r="516" spans="1:54" x14ac:dyDescent="0.3">
      <c r="A516">
        <v>1</v>
      </c>
      <c r="B516">
        <v>15</v>
      </c>
      <c r="C516" t="s">
        <v>54</v>
      </c>
      <c r="D516" s="3">
        <v>46156.688090277778</v>
      </c>
      <c r="E516" s="8">
        <v>46188</v>
      </c>
      <c r="F516" t="s">
        <v>1868</v>
      </c>
      <c r="G516" t="s">
        <v>56</v>
      </c>
      <c r="H516" t="s">
        <v>254</v>
      </c>
      <c r="I516" t="s">
        <v>255</v>
      </c>
      <c r="J516" t="s">
        <v>59</v>
      </c>
      <c r="L516" t="s">
        <v>699</v>
      </c>
      <c r="M516" t="s">
        <v>62</v>
      </c>
      <c r="O516" t="s">
        <v>75</v>
      </c>
      <c r="P516" t="s">
        <v>76</v>
      </c>
      <c r="Q516" s="5">
        <v>2</v>
      </c>
      <c r="R516" s="6">
        <v>146.05000000000001</v>
      </c>
      <c r="S516" s="6">
        <v>292.10000000000002</v>
      </c>
      <c r="T516" s="6">
        <v>91.8</v>
      </c>
      <c r="U516" s="3">
        <v>46300.458333333343</v>
      </c>
      <c r="W516" t="s">
        <v>256</v>
      </c>
      <c r="X516" t="s">
        <v>70</v>
      </c>
      <c r="Y516" t="s">
        <v>68</v>
      </c>
      <c r="Z516" t="s">
        <v>521</v>
      </c>
      <c r="AA516" t="s">
        <v>522</v>
      </c>
      <c r="AB516" t="s">
        <v>67</v>
      </c>
      <c r="AC516" t="s">
        <v>70</v>
      </c>
      <c r="AD516" t="s">
        <v>71</v>
      </c>
      <c r="AE516" t="s">
        <v>77</v>
      </c>
      <c r="AF516" t="s">
        <v>67</v>
      </c>
      <c r="AG516" t="s">
        <v>78</v>
      </c>
      <c r="AH516" t="b">
        <v>0</v>
      </c>
      <c r="AI516" t="b">
        <v>0</v>
      </c>
      <c r="AJ516" t="b">
        <v>0</v>
      </c>
      <c r="AK516" t="b">
        <v>0</v>
      </c>
      <c r="AL516" s="6">
        <v>45.9</v>
      </c>
      <c r="AM516" s="3">
        <v>46300.458333333343</v>
      </c>
      <c r="AN516">
        <v>1</v>
      </c>
      <c r="AO516" s="3"/>
      <c r="AT516" t="b">
        <v>0</v>
      </c>
      <c r="AU516" t="s">
        <v>74</v>
      </c>
      <c r="AV516" t="b">
        <v>1</v>
      </c>
      <c r="AW516" t="b">
        <v>0</v>
      </c>
      <c r="AX516" s="5">
        <v>0</v>
      </c>
      <c r="AY516" s="3"/>
      <c r="AZ516" t="s">
        <v>67</v>
      </c>
      <c r="BA516" t="s">
        <v>67</v>
      </c>
      <c r="BB516" t="s">
        <v>317</v>
      </c>
    </row>
    <row r="517" spans="1:54" x14ac:dyDescent="0.3">
      <c r="A517">
        <v>1</v>
      </c>
      <c r="B517">
        <v>15</v>
      </c>
      <c r="C517" t="s">
        <v>54</v>
      </c>
      <c r="D517" s="3">
        <v>46156.688090277778</v>
      </c>
      <c r="E517" s="8">
        <v>46188</v>
      </c>
      <c r="F517" t="s">
        <v>1868</v>
      </c>
      <c r="G517" t="s">
        <v>56</v>
      </c>
      <c r="H517" t="s">
        <v>254</v>
      </c>
      <c r="I517" t="s">
        <v>255</v>
      </c>
      <c r="J517" t="s">
        <v>59</v>
      </c>
      <c r="L517" t="s">
        <v>699</v>
      </c>
      <c r="M517" t="s">
        <v>62</v>
      </c>
      <c r="O517" t="s">
        <v>1871</v>
      </c>
      <c r="P517" t="s">
        <v>1872</v>
      </c>
      <c r="Q517" s="5">
        <v>2</v>
      </c>
      <c r="R517" s="6">
        <v>570</v>
      </c>
      <c r="S517" s="6">
        <v>1140</v>
      </c>
      <c r="T517" s="6">
        <v>400.5</v>
      </c>
      <c r="U517" s="3">
        <v>46300.458333333343</v>
      </c>
      <c r="W517" t="s">
        <v>256</v>
      </c>
      <c r="X517" t="s">
        <v>70</v>
      </c>
      <c r="Y517" t="s">
        <v>68</v>
      </c>
      <c r="Z517" t="s">
        <v>521</v>
      </c>
      <c r="AA517" t="s">
        <v>522</v>
      </c>
      <c r="AB517" t="s">
        <v>67</v>
      </c>
      <c r="AC517" t="s">
        <v>70</v>
      </c>
      <c r="AD517" t="s">
        <v>71</v>
      </c>
      <c r="AE517" t="s">
        <v>77</v>
      </c>
      <c r="AF517" t="s">
        <v>67</v>
      </c>
      <c r="AG517" t="s">
        <v>1873</v>
      </c>
      <c r="AH517" t="b">
        <v>0</v>
      </c>
      <c r="AI517" t="b">
        <v>0</v>
      </c>
      <c r="AJ517" t="b">
        <v>0</v>
      </c>
      <c r="AK517" t="b">
        <v>0</v>
      </c>
      <c r="AL517" s="6">
        <v>200.25</v>
      </c>
      <c r="AM517" s="3">
        <v>46300.458333333343</v>
      </c>
      <c r="AN517">
        <v>1</v>
      </c>
      <c r="AO517" s="3"/>
      <c r="AT517" t="b">
        <v>0</v>
      </c>
      <c r="AU517" t="s">
        <v>74</v>
      </c>
      <c r="AV517" t="b">
        <v>1</v>
      </c>
      <c r="AW517" t="b">
        <v>0</v>
      </c>
      <c r="AX517" s="5">
        <v>0</v>
      </c>
      <c r="AY517" s="3"/>
      <c r="AZ517" t="s">
        <v>67</v>
      </c>
      <c r="BA517" t="s">
        <v>67</v>
      </c>
      <c r="BB517" t="s">
        <v>317</v>
      </c>
    </row>
    <row r="518" spans="1:54" x14ac:dyDescent="0.3">
      <c r="A518">
        <v>1</v>
      </c>
      <c r="B518">
        <v>15</v>
      </c>
      <c r="C518" t="s">
        <v>54</v>
      </c>
      <c r="D518" s="3">
        <v>46156.688090277778</v>
      </c>
      <c r="E518" s="8">
        <v>46188</v>
      </c>
      <c r="F518" t="s">
        <v>1868</v>
      </c>
      <c r="G518" t="s">
        <v>56</v>
      </c>
      <c r="H518" t="s">
        <v>254</v>
      </c>
      <c r="I518" t="s">
        <v>255</v>
      </c>
      <c r="J518" t="s">
        <v>59</v>
      </c>
      <c r="L518" t="s">
        <v>699</v>
      </c>
      <c r="M518" t="s">
        <v>62</v>
      </c>
      <c r="O518" t="s">
        <v>64</v>
      </c>
      <c r="P518" t="s">
        <v>65</v>
      </c>
      <c r="Q518" s="5">
        <v>1</v>
      </c>
      <c r="R518" s="6">
        <v>237</v>
      </c>
      <c r="S518" s="6">
        <v>237</v>
      </c>
      <c r="T518" s="6">
        <v>157.5</v>
      </c>
      <c r="U518" s="3">
        <v>46300.458333333343</v>
      </c>
      <c r="W518" t="s">
        <v>256</v>
      </c>
      <c r="X518" t="s">
        <v>70</v>
      </c>
      <c r="Y518" t="s">
        <v>68</v>
      </c>
      <c r="Z518" t="s">
        <v>521</v>
      </c>
      <c r="AA518" t="s">
        <v>522</v>
      </c>
      <c r="AB518" t="s">
        <v>67</v>
      </c>
      <c r="AC518" t="s">
        <v>70</v>
      </c>
      <c r="AD518" t="s">
        <v>71</v>
      </c>
      <c r="AE518" t="s">
        <v>72</v>
      </c>
      <c r="AF518" t="s">
        <v>67</v>
      </c>
      <c r="AG518" t="s">
        <v>73</v>
      </c>
      <c r="AH518" t="b">
        <v>0</v>
      </c>
      <c r="AI518" t="b">
        <v>0</v>
      </c>
      <c r="AJ518" t="b">
        <v>0</v>
      </c>
      <c r="AK518" t="b">
        <v>0</v>
      </c>
      <c r="AL518" s="6">
        <v>157.5</v>
      </c>
      <c r="AM518" s="3">
        <v>46300.458333333343</v>
      </c>
      <c r="AN518">
        <v>1</v>
      </c>
      <c r="AO518" s="3"/>
      <c r="AT518" t="b">
        <v>0</v>
      </c>
      <c r="AU518" t="s">
        <v>74</v>
      </c>
      <c r="AV518" t="b">
        <v>1</v>
      </c>
      <c r="AW518" t="b">
        <v>0</v>
      </c>
      <c r="AX518" s="5">
        <v>0</v>
      </c>
      <c r="AY518" s="3"/>
      <c r="AZ518" t="s">
        <v>67</v>
      </c>
      <c r="BA518" t="s">
        <v>67</v>
      </c>
      <c r="BB518" t="s">
        <v>317</v>
      </c>
    </row>
    <row r="519" spans="1:54" x14ac:dyDescent="0.3">
      <c r="A519">
        <v>1</v>
      </c>
      <c r="B519">
        <v>15</v>
      </c>
      <c r="C519" t="s">
        <v>54</v>
      </c>
      <c r="D519" s="3">
        <v>46158.725937499999</v>
      </c>
      <c r="E519" s="8">
        <v>46175</v>
      </c>
      <c r="F519" t="s">
        <v>1874</v>
      </c>
      <c r="G519" t="s">
        <v>56</v>
      </c>
      <c r="H519" t="s">
        <v>1875</v>
      </c>
      <c r="I519" t="s">
        <v>1876</v>
      </c>
      <c r="J519" t="s">
        <v>59</v>
      </c>
      <c r="K519" t="s">
        <v>902</v>
      </c>
      <c r="L519" t="s">
        <v>699</v>
      </c>
      <c r="M519" t="s">
        <v>62</v>
      </c>
      <c r="N519" t="s">
        <v>63</v>
      </c>
      <c r="O519" t="s">
        <v>82</v>
      </c>
      <c r="P519" t="s">
        <v>83</v>
      </c>
      <c r="Q519" s="5">
        <v>1</v>
      </c>
      <c r="R519" s="6">
        <v>140</v>
      </c>
      <c r="S519" s="6">
        <v>140</v>
      </c>
      <c r="T519" s="6">
        <v>93.1</v>
      </c>
      <c r="U519" s="3">
        <v>46279.5625</v>
      </c>
      <c r="W519" t="s">
        <v>1877</v>
      </c>
      <c r="X519" t="s">
        <v>67</v>
      </c>
      <c r="Y519" t="s">
        <v>68</v>
      </c>
      <c r="Z519" t="s">
        <v>1878</v>
      </c>
      <c r="AA519" t="s">
        <v>1486</v>
      </c>
      <c r="AB519" t="s">
        <v>70</v>
      </c>
      <c r="AC519" t="s">
        <v>70</v>
      </c>
      <c r="AD519" t="s">
        <v>71</v>
      </c>
      <c r="AE519" t="s">
        <v>84</v>
      </c>
      <c r="AF519" t="s">
        <v>67</v>
      </c>
      <c r="AG519" t="s">
        <v>82</v>
      </c>
      <c r="AH519" t="b">
        <v>0</v>
      </c>
      <c r="AI519" t="b">
        <v>0</v>
      </c>
      <c r="AJ519" t="b">
        <v>0</v>
      </c>
      <c r="AK519" t="b">
        <v>0</v>
      </c>
      <c r="AL519" s="6">
        <v>93.1</v>
      </c>
      <c r="AM519" s="3">
        <v>46279.5625</v>
      </c>
      <c r="AN519">
        <v>1</v>
      </c>
      <c r="AO519" s="3"/>
      <c r="AT519" t="b">
        <v>0</v>
      </c>
      <c r="AU519" t="s">
        <v>74</v>
      </c>
      <c r="AV519" t="b">
        <v>1</v>
      </c>
      <c r="AW519" t="b">
        <v>0</v>
      </c>
      <c r="AX519" s="5">
        <v>0</v>
      </c>
      <c r="AY519" s="3"/>
      <c r="AZ519" t="s">
        <v>67</v>
      </c>
      <c r="BA519" t="s">
        <v>67</v>
      </c>
      <c r="BB519" t="s">
        <v>317</v>
      </c>
    </row>
    <row r="520" spans="1:54" x14ac:dyDescent="0.3">
      <c r="A520">
        <v>1</v>
      </c>
      <c r="B520">
        <v>15</v>
      </c>
      <c r="C520" t="s">
        <v>54</v>
      </c>
      <c r="D520" s="3">
        <v>46158.725937499999</v>
      </c>
      <c r="E520" s="8">
        <v>46175</v>
      </c>
      <c r="F520" t="s">
        <v>1874</v>
      </c>
      <c r="G520" t="s">
        <v>56</v>
      </c>
      <c r="H520" t="s">
        <v>1875</v>
      </c>
      <c r="I520" t="s">
        <v>1876</v>
      </c>
      <c r="J520" t="s">
        <v>59</v>
      </c>
      <c r="K520" t="s">
        <v>902</v>
      </c>
      <c r="L520" t="s">
        <v>699</v>
      </c>
      <c r="M520" t="s">
        <v>62</v>
      </c>
      <c r="N520" t="s">
        <v>63</v>
      </c>
      <c r="O520" t="s">
        <v>88</v>
      </c>
      <c r="P520" t="s">
        <v>89</v>
      </c>
      <c r="Q520" s="5">
        <v>1</v>
      </c>
      <c r="R520" s="6">
        <v>357.2</v>
      </c>
      <c r="S520" s="6">
        <v>357.2</v>
      </c>
      <c r="T520" s="6">
        <v>112.95</v>
      </c>
      <c r="U520" s="3">
        <v>46279.5625</v>
      </c>
      <c r="W520" t="s">
        <v>1877</v>
      </c>
      <c r="X520" t="s">
        <v>67</v>
      </c>
      <c r="Y520" t="s">
        <v>68</v>
      </c>
      <c r="Z520" t="s">
        <v>1878</v>
      </c>
      <c r="AA520" t="s">
        <v>1486</v>
      </c>
      <c r="AB520" t="s">
        <v>70</v>
      </c>
      <c r="AC520" t="s">
        <v>70</v>
      </c>
      <c r="AD520" t="s">
        <v>71</v>
      </c>
      <c r="AE520" t="s">
        <v>77</v>
      </c>
      <c r="AF520" t="s">
        <v>67</v>
      </c>
      <c r="AG520" t="s">
        <v>90</v>
      </c>
      <c r="AH520" t="b">
        <v>0</v>
      </c>
      <c r="AI520" t="b">
        <v>0</v>
      </c>
      <c r="AJ520" t="b">
        <v>0</v>
      </c>
      <c r="AK520" t="b">
        <v>0</v>
      </c>
      <c r="AL520" s="6">
        <v>112.95</v>
      </c>
      <c r="AM520" s="3">
        <v>46279.5625</v>
      </c>
      <c r="AN520">
        <v>1</v>
      </c>
      <c r="AO520" s="3"/>
      <c r="AT520" t="b">
        <v>0</v>
      </c>
      <c r="AU520" t="s">
        <v>74</v>
      </c>
      <c r="AV520" t="b">
        <v>1</v>
      </c>
      <c r="AW520" t="b">
        <v>0</v>
      </c>
      <c r="AX520" s="5">
        <v>0</v>
      </c>
      <c r="AY520" s="3"/>
      <c r="AZ520" t="s">
        <v>67</v>
      </c>
      <c r="BA520" t="s">
        <v>67</v>
      </c>
      <c r="BB520" t="s">
        <v>317</v>
      </c>
    </row>
    <row r="521" spans="1:54" x14ac:dyDescent="0.3">
      <c r="A521">
        <v>1</v>
      </c>
      <c r="B521">
        <v>15</v>
      </c>
      <c r="C521" t="s">
        <v>54</v>
      </c>
      <c r="D521" s="3">
        <v>46158.725937499999</v>
      </c>
      <c r="E521" s="8">
        <v>46175</v>
      </c>
      <c r="F521" t="s">
        <v>1874</v>
      </c>
      <c r="G521" t="s">
        <v>56</v>
      </c>
      <c r="H521" t="s">
        <v>1875</v>
      </c>
      <c r="I521" t="s">
        <v>1876</v>
      </c>
      <c r="J521" t="s">
        <v>59</v>
      </c>
      <c r="K521" t="s">
        <v>902</v>
      </c>
      <c r="L521" t="s">
        <v>699</v>
      </c>
      <c r="M521" t="s">
        <v>62</v>
      </c>
      <c r="N521" t="s">
        <v>63</v>
      </c>
      <c r="O521" t="s">
        <v>1016</v>
      </c>
      <c r="P521" t="s">
        <v>1017</v>
      </c>
      <c r="Q521" s="5">
        <v>1</v>
      </c>
      <c r="R521" s="6">
        <v>33</v>
      </c>
      <c r="S521" s="6">
        <v>33</v>
      </c>
      <c r="T521" s="6">
        <v>11.7</v>
      </c>
      <c r="U521" s="3">
        <v>46279.5625</v>
      </c>
      <c r="W521" t="s">
        <v>1877</v>
      </c>
      <c r="X521" t="s">
        <v>67</v>
      </c>
      <c r="Y521" t="s">
        <v>68</v>
      </c>
      <c r="Z521" t="s">
        <v>1878</v>
      </c>
      <c r="AA521" t="s">
        <v>1486</v>
      </c>
      <c r="AB521" t="s">
        <v>70</v>
      </c>
      <c r="AC521" t="s">
        <v>70</v>
      </c>
      <c r="AD521" t="s">
        <v>71</v>
      </c>
      <c r="AE521" t="s">
        <v>77</v>
      </c>
      <c r="AF521" t="s">
        <v>67</v>
      </c>
      <c r="AG521" t="s">
        <v>1018</v>
      </c>
      <c r="AH521" t="b">
        <v>0</v>
      </c>
      <c r="AI521" t="b">
        <v>0</v>
      </c>
      <c r="AJ521" t="b">
        <v>0</v>
      </c>
      <c r="AK521" t="b">
        <v>0</v>
      </c>
      <c r="AL521" s="6">
        <v>11.7</v>
      </c>
      <c r="AM521" s="3">
        <v>46279.5625</v>
      </c>
      <c r="AN521">
        <v>1</v>
      </c>
      <c r="AO521" s="3"/>
      <c r="AT521" t="b">
        <v>0</v>
      </c>
      <c r="AU521" t="s">
        <v>74</v>
      </c>
      <c r="AV521" t="b">
        <v>1</v>
      </c>
      <c r="AW521" t="b">
        <v>0</v>
      </c>
      <c r="AX521" s="5">
        <v>0</v>
      </c>
      <c r="AY521" s="3"/>
      <c r="AZ521" t="s">
        <v>67</v>
      </c>
      <c r="BA521" t="s">
        <v>67</v>
      </c>
      <c r="BB521" t="s">
        <v>317</v>
      </c>
    </row>
    <row r="522" spans="1:54" x14ac:dyDescent="0.3">
      <c r="A522">
        <v>1</v>
      </c>
      <c r="B522">
        <v>15</v>
      </c>
      <c r="C522" t="s">
        <v>54</v>
      </c>
      <c r="D522" s="3">
        <v>46158.725937499999</v>
      </c>
      <c r="E522" s="8">
        <v>46175</v>
      </c>
      <c r="F522" t="s">
        <v>1874</v>
      </c>
      <c r="G522" t="s">
        <v>56</v>
      </c>
      <c r="H522" t="s">
        <v>1875</v>
      </c>
      <c r="I522" t="s">
        <v>1876</v>
      </c>
      <c r="J522" t="s">
        <v>59</v>
      </c>
      <c r="K522" t="s">
        <v>902</v>
      </c>
      <c r="L522" t="s">
        <v>699</v>
      </c>
      <c r="M522" t="s">
        <v>62</v>
      </c>
      <c r="N522" t="s">
        <v>63</v>
      </c>
      <c r="O522" t="s">
        <v>75</v>
      </c>
      <c r="P522" t="s">
        <v>76</v>
      </c>
      <c r="Q522" s="5">
        <v>1</v>
      </c>
      <c r="R522" s="6">
        <v>146.05000000000001</v>
      </c>
      <c r="S522" s="6">
        <v>146.05000000000001</v>
      </c>
      <c r="T522" s="6">
        <v>45.9</v>
      </c>
      <c r="U522" s="3">
        <v>46279.5625</v>
      </c>
      <c r="W522" t="s">
        <v>1877</v>
      </c>
      <c r="X522" t="s">
        <v>67</v>
      </c>
      <c r="Y522" t="s">
        <v>68</v>
      </c>
      <c r="Z522" t="s">
        <v>1878</v>
      </c>
      <c r="AA522" t="s">
        <v>1486</v>
      </c>
      <c r="AB522" t="s">
        <v>70</v>
      </c>
      <c r="AC522" t="s">
        <v>70</v>
      </c>
      <c r="AD522" t="s">
        <v>71</v>
      </c>
      <c r="AE522" t="s">
        <v>77</v>
      </c>
      <c r="AF522" t="s">
        <v>67</v>
      </c>
      <c r="AG522" t="s">
        <v>78</v>
      </c>
      <c r="AH522" t="b">
        <v>0</v>
      </c>
      <c r="AI522" t="b">
        <v>0</v>
      </c>
      <c r="AJ522" t="b">
        <v>0</v>
      </c>
      <c r="AK522" t="b">
        <v>0</v>
      </c>
      <c r="AL522" s="6">
        <v>45.9</v>
      </c>
      <c r="AM522" s="3">
        <v>46279.5625</v>
      </c>
      <c r="AN522">
        <v>1</v>
      </c>
      <c r="AO522" s="3"/>
      <c r="AT522" t="b">
        <v>0</v>
      </c>
      <c r="AU522" t="s">
        <v>74</v>
      </c>
      <c r="AV522" t="b">
        <v>1</v>
      </c>
      <c r="AW522" t="b">
        <v>0</v>
      </c>
      <c r="AX522" s="5">
        <v>0</v>
      </c>
      <c r="AY522" s="3"/>
      <c r="AZ522" t="s">
        <v>67</v>
      </c>
      <c r="BA522" t="s">
        <v>67</v>
      </c>
      <c r="BB522" t="s">
        <v>317</v>
      </c>
    </row>
    <row r="523" spans="1:54" x14ac:dyDescent="0.3">
      <c r="A523">
        <v>1</v>
      </c>
      <c r="B523">
        <v>15</v>
      </c>
      <c r="C523" t="s">
        <v>54</v>
      </c>
      <c r="D523" s="3">
        <v>46158.725937499999</v>
      </c>
      <c r="E523" s="8">
        <v>46175</v>
      </c>
      <c r="F523" t="s">
        <v>1874</v>
      </c>
      <c r="G523" t="s">
        <v>56</v>
      </c>
      <c r="H523" t="s">
        <v>1875</v>
      </c>
      <c r="I523" t="s">
        <v>1876</v>
      </c>
      <c r="J523" t="s">
        <v>59</v>
      </c>
      <c r="K523" t="s">
        <v>902</v>
      </c>
      <c r="L523" t="s">
        <v>699</v>
      </c>
      <c r="M523" t="s">
        <v>62</v>
      </c>
      <c r="N523" t="s">
        <v>63</v>
      </c>
      <c r="O523" t="s">
        <v>1865</v>
      </c>
      <c r="P523" t="s">
        <v>1866</v>
      </c>
      <c r="Q523" s="5">
        <v>1</v>
      </c>
      <c r="R523" s="6">
        <v>570</v>
      </c>
      <c r="S523" s="6">
        <v>570</v>
      </c>
      <c r="T523" s="6">
        <v>200.25</v>
      </c>
      <c r="U523" s="3">
        <v>46279.5625</v>
      </c>
      <c r="W523" t="s">
        <v>1877</v>
      </c>
      <c r="X523" t="s">
        <v>67</v>
      </c>
      <c r="Y523" t="s">
        <v>68</v>
      </c>
      <c r="Z523" t="s">
        <v>1878</v>
      </c>
      <c r="AA523" t="s">
        <v>1486</v>
      </c>
      <c r="AB523" t="s">
        <v>70</v>
      </c>
      <c r="AC523" t="s">
        <v>70</v>
      </c>
      <c r="AD523" t="s">
        <v>71</v>
      </c>
      <c r="AE523" t="s">
        <v>77</v>
      </c>
      <c r="AF523" t="s">
        <v>67</v>
      </c>
      <c r="AG523" t="s">
        <v>1867</v>
      </c>
      <c r="AH523" t="b">
        <v>0</v>
      </c>
      <c r="AI523" t="b">
        <v>0</v>
      </c>
      <c r="AJ523" t="b">
        <v>0</v>
      </c>
      <c r="AK523" t="b">
        <v>0</v>
      </c>
      <c r="AL523" s="6">
        <v>200.25</v>
      </c>
      <c r="AM523" s="3">
        <v>46279.5625</v>
      </c>
      <c r="AN523">
        <v>1</v>
      </c>
      <c r="AO523" s="3"/>
      <c r="AT523" t="b">
        <v>0</v>
      </c>
      <c r="AU523" t="s">
        <v>74</v>
      </c>
      <c r="AV523" t="b">
        <v>1</v>
      </c>
      <c r="AW523" t="b">
        <v>0</v>
      </c>
      <c r="AX523" s="5">
        <v>0</v>
      </c>
      <c r="AY523" s="3"/>
      <c r="AZ523" t="s">
        <v>67</v>
      </c>
      <c r="BA523" t="s">
        <v>67</v>
      </c>
      <c r="BB523" t="s">
        <v>317</v>
      </c>
    </row>
    <row r="524" spans="1:54" x14ac:dyDescent="0.3">
      <c r="A524">
        <v>1</v>
      </c>
      <c r="B524">
        <v>15</v>
      </c>
      <c r="C524" t="s">
        <v>54</v>
      </c>
      <c r="D524" s="3">
        <v>46158.725937499999</v>
      </c>
      <c r="E524" s="8">
        <v>46175</v>
      </c>
      <c r="F524" t="s">
        <v>1874</v>
      </c>
      <c r="G524" t="s">
        <v>56</v>
      </c>
      <c r="H524" t="s">
        <v>1875</v>
      </c>
      <c r="I524" t="s">
        <v>1876</v>
      </c>
      <c r="J524" t="s">
        <v>59</v>
      </c>
      <c r="K524" t="s">
        <v>902</v>
      </c>
      <c r="L524" t="s">
        <v>699</v>
      </c>
      <c r="M524" t="s">
        <v>62</v>
      </c>
      <c r="N524" t="s">
        <v>63</v>
      </c>
      <c r="O524" t="s">
        <v>175</v>
      </c>
      <c r="P524" t="s">
        <v>176</v>
      </c>
      <c r="Q524" s="5">
        <v>1</v>
      </c>
      <c r="R524" s="6">
        <v>570</v>
      </c>
      <c r="S524" s="6">
        <v>570</v>
      </c>
      <c r="T524" s="6">
        <v>200.25</v>
      </c>
      <c r="U524" s="3">
        <v>46279.5625</v>
      </c>
      <c r="W524" t="s">
        <v>1877</v>
      </c>
      <c r="X524" t="s">
        <v>67</v>
      </c>
      <c r="Y524" t="s">
        <v>68</v>
      </c>
      <c r="Z524" t="s">
        <v>1878</v>
      </c>
      <c r="AA524" t="s">
        <v>1486</v>
      </c>
      <c r="AB524" t="s">
        <v>70</v>
      </c>
      <c r="AC524" t="s">
        <v>70</v>
      </c>
      <c r="AD524" t="s">
        <v>71</v>
      </c>
      <c r="AE524" t="s">
        <v>77</v>
      </c>
      <c r="AF524" t="s">
        <v>67</v>
      </c>
      <c r="AG524" t="s">
        <v>177</v>
      </c>
      <c r="AH524" t="b">
        <v>0</v>
      </c>
      <c r="AI524" t="b">
        <v>0</v>
      </c>
      <c r="AJ524" t="b">
        <v>0</v>
      </c>
      <c r="AK524" t="b">
        <v>0</v>
      </c>
      <c r="AL524" s="6">
        <v>200.25</v>
      </c>
      <c r="AM524" s="3">
        <v>46279.5625</v>
      </c>
      <c r="AN524">
        <v>1</v>
      </c>
      <c r="AO524" s="3"/>
      <c r="AT524" t="b">
        <v>0</v>
      </c>
      <c r="AU524" t="s">
        <v>74</v>
      </c>
      <c r="AV524" t="b">
        <v>1</v>
      </c>
      <c r="AW524" t="b">
        <v>0</v>
      </c>
      <c r="AX524" s="5">
        <v>0</v>
      </c>
      <c r="AY524" s="3"/>
      <c r="AZ524" t="s">
        <v>67</v>
      </c>
      <c r="BA524" t="s">
        <v>67</v>
      </c>
      <c r="BB524" t="s">
        <v>317</v>
      </c>
    </row>
    <row r="525" spans="1:54" x14ac:dyDescent="0.3">
      <c r="A525">
        <v>1</v>
      </c>
      <c r="B525">
        <v>15</v>
      </c>
      <c r="C525" t="s">
        <v>54</v>
      </c>
      <c r="D525" s="3">
        <v>46160.361331018517</v>
      </c>
      <c r="E525" s="8">
        <v>46162</v>
      </c>
      <c r="F525" t="s">
        <v>1879</v>
      </c>
      <c r="G525" t="s">
        <v>56</v>
      </c>
      <c r="H525" t="s">
        <v>1880</v>
      </c>
      <c r="I525" t="s">
        <v>1881</v>
      </c>
      <c r="J525" t="s">
        <v>1882</v>
      </c>
      <c r="L525" t="s">
        <v>1883</v>
      </c>
      <c r="M525" t="s">
        <v>1884</v>
      </c>
      <c r="N525" t="s">
        <v>1884</v>
      </c>
      <c r="O525" t="s">
        <v>1225</v>
      </c>
      <c r="P525" t="s">
        <v>1226</v>
      </c>
      <c r="Q525" s="5">
        <v>1</v>
      </c>
      <c r="R525" s="6">
        <v>100</v>
      </c>
      <c r="S525" s="6">
        <v>100</v>
      </c>
      <c r="T525" s="6">
        <v>61.53</v>
      </c>
      <c r="U525" s="3">
        <v>46275.25</v>
      </c>
      <c r="W525" t="s">
        <v>1885</v>
      </c>
      <c r="X525" t="s">
        <v>67</v>
      </c>
      <c r="Y525" t="s">
        <v>68</v>
      </c>
      <c r="Z525" t="s">
        <v>69</v>
      </c>
      <c r="AA525" t="s">
        <v>69</v>
      </c>
      <c r="AB525" t="s">
        <v>67</v>
      </c>
      <c r="AC525" t="s">
        <v>70</v>
      </c>
      <c r="AD525" t="s">
        <v>1886</v>
      </c>
      <c r="AE525" t="s">
        <v>84</v>
      </c>
      <c r="AF525" t="s">
        <v>67</v>
      </c>
      <c r="AG525" t="s">
        <v>1225</v>
      </c>
      <c r="AH525" t="b">
        <v>0</v>
      </c>
      <c r="AI525" t="b">
        <v>0</v>
      </c>
      <c r="AJ525" t="b">
        <v>0</v>
      </c>
      <c r="AK525" t="b">
        <v>0</v>
      </c>
      <c r="AL525" s="6">
        <v>61.53</v>
      </c>
      <c r="AM525" s="3">
        <v>46225.25</v>
      </c>
      <c r="AN525">
        <v>1</v>
      </c>
      <c r="AO525" s="3"/>
      <c r="AT525" t="b">
        <v>0</v>
      </c>
      <c r="AU525" t="s">
        <v>74</v>
      </c>
      <c r="AV525" t="b">
        <v>1</v>
      </c>
      <c r="AW525" t="b">
        <v>0</v>
      </c>
      <c r="AX525" s="5">
        <v>0</v>
      </c>
      <c r="AY525" s="3"/>
      <c r="AZ525" t="s">
        <v>67</v>
      </c>
      <c r="BA525" t="s">
        <v>67</v>
      </c>
      <c r="BB525" t="s">
        <v>317</v>
      </c>
    </row>
    <row r="526" spans="1:54" x14ac:dyDescent="0.3">
      <c r="A526">
        <v>1</v>
      </c>
      <c r="B526">
        <v>15</v>
      </c>
      <c r="C526" t="s">
        <v>54</v>
      </c>
      <c r="D526" s="3">
        <v>46167.48641203704</v>
      </c>
      <c r="E526" s="8">
        <v>46167</v>
      </c>
      <c r="F526" t="s">
        <v>1887</v>
      </c>
      <c r="G526" t="s">
        <v>56</v>
      </c>
      <c r="H526" t="s">
        <v>1888</v>
      </c>
      <c r="I526" t="s">
        <v>1889</v>
      </c>
      <c r="J526" t="s">
        <v>1044</v>
      </c>
      <c r="K526" t="s">
        <v>1890</v>
      </c>
      <c r="L526" t="s">
        <v>1045</v>
      </c>
      <c r="M526" t="s">
        <v>1046</v>
      </c>
      <c r="N526" t="s">
        <v>1046</v>
      </c>
      <c r="O526" t="s">
        <v>752</v>
      </c>
      <c r="P526" t="s">
        <v>753</v>
      </c>
      <c r="Q526" s="5">
        <v>1</v>
      </c>
      <c r="R526" s="6">
        <v>80</v>
      </c>
      <c r="S526" s="6">
        <v>80</v>
      </c>
      <c r="T526" s="6">
        <v>0</v>
      </c>
      <c r="U526" s="3">
        <v>46301.291666666657</v>
      </c>
      <c r="W526" t="s">
        <v>1891</v>
      </c>
      <c r="X526" t="s">
        <v>70</v>
      </c>
      <c r="Y526" t="s">
        <v>23</v>
      </c>
      <c r="Z526" t="s">
        <v>69</v>
      </c>
      <c r="AA526" t="s">
        <v>69</v>
      </c>
      <c r="AB526" t="s">
        <v>67</v>
      </c>
      <c r="AC526" t="s">
        <v>70</v>
      </c>
      <c r="AD526" t="s">
        <v>1049</v>
      </c>
      <c r="AE526" t="s">
        <v>102</v>
      </c>
      <c r="AF526" t="s">
        <v>67</v>
      </c>
      <c r="AG526" t="s">
        <v>752</v>
      </c>
      <c r="AH526" t="b">
        <v>0</v>
      </c>
      <c r="AI526" t="b">
        <v>0</v>
      </c>
      <c r="AJ526" t="b">
        <v>0</v>
      </c>
      <c r="AK526" t="b">
        <v>0</v>
      </c>
      <c r="AL526" s="6">
        <v>0</v>
      </c>
      <c r="AM526" s="3">
        <v>46279.25</v>
      </c>
      <c r="AN526">
        <v>1</v>
      </c>
      <c r="AO526" s="3"/>
      <c r="AT526" t="b">
        <v>0</v>
      </c>
      <c r="AU526" t="s">
        <v>74</v>
      </c>
      <c r="AV526" t="b">
        <v>1</v>
      </c>
      <c r="AW526" t="b">
        <v>0</v>
      </c>
      <c r="AX526" s="5">
        <v>0</v>
      </c>
      <c r="AY526" s="3"/>
      <c r="AZ526" t="s">
        <v>67</v>
      </c>
      <c r="BA526" t="s">
        <v>67</v>
      </c>
      <c r="BB526" t="s">
        <v>317</v>
      </c>
    </row>
    <row r="527" spans="1:54" x14ac:dyDescent="0.3">
      <c r="A527">
        <v>1</v>
      </c>
      <c r="B527">
        <v>15</v>
      </c>
      <c r="C527" t="s">
        <v>54</v>
      </c>
      <c r="D527" s="3">
        <v>46169.384409722217</v>
      </c>
      <c r="E527" s="8">
        <v>46225</v>
      </c>
      <c r="F527" t="s">
        <v>1892</v>
      </c>
      <c r="G527" t="s">
        <v>56</v>
      </c>
      <c r="H527" t="s">
        <v>1893</v>
      </c>
      <c r="I527" t="s">
        <v>1894</v>
      </c>
      <c r="J527" t="s">
        <v>363</v>
      </c>
      <c r="K527" t="s">
        <v>1895</v>
      </c>
      <c r="L527" t="s">
        <v>1896</v>
      </c>
      <c r="M527" t="s">
        <v>366</v>
      </c>
      <c r="O527" t="s">
        <v>1897</v>
      </c>
      <c r="P527" t="s">
        <v>1898</v>
      </c>
      <c r="Q527" s="5">
        <v>1</v>
      </c>
      <c r="R527" s="6">
        <v>235</v>
      </c>
      <c r="S527" s="6">
        <v>235</v>
      </c>
      <c r="T527" s="6">
        <v>146.59</v>
      </c>
      <c r="U527" s="3">
        <v>46323.25</v>
      </c>
      <c r="V527" t="s">
        <v>961</v>
      </c>
      <c r="W527" t="s">
        <v>1899</v>
      </c>
      <c r="X527" t="s">
        <v>70</v>
      </c>
      <c r="Y527" t="s">
        <v>23</v>
      </c>
      <c r="Z527" t="s">
        <v>69</v>
      </c>
      <c r="AA527" t="s">
        <v>69</v>
      </c>
      <c r="AB527" t="s">
        <v>70</v>
      </c>
      <c r="AC527" t="s">
        <v>70</v>
      </c>
      <c r="AD527" t="s">
        <v>370</v>
      </c>
      <c r="AE527" t="s">
        <v>102</v>
      </c>
      <c r="AF527" t="s">
        <v>67</v>
      </c>
      <c r="AH527" t="b">
        <v>0</v>
      </c>
      <c r="AI527" t="b">
        <v>0</v>
      </c>
      <c r="AJ527" t="b">
        <v>0</v>
      </c>
      <c r="AK527" t="b">
        <v>0</v>
      </c>
      <c r="AL527" s="6">
        <v>146.59</v>
      </c>
      <c r="AM527" s="3">
        <v>46323.25</v>
      </c>
      <c r="AN527">
        <v>1</v>
      </c>
      <c r="AO527" s="3"/>
      <c r="AP527" t="s">
        <v>112</v>
      </c>
      <c r="AQ527" t="s">
        <v>112</v>
      </c>
      <c r="AR527" t="s">
        <v>1274</v>
      </c>
      <c r="AS527">
        <v>1</v>
      </c>
      <c r="AT527" t="b">
        <v>0</v>
      </c>
      <c r="AU527" t="s">
        <v>114</v>
      </c>
      <c r="AV527" t="b">
        <v>1</v>
      </c>
      <c r="AW527" t="b">
        <v>0</v>
      </c>
      <c r="AX527" s="5">
        <v>0</v>
      </c>
      <c r="AY527" s="3"/>
      <c r="AZ527" t="s">
        <v>67</v>
      </c>
      <c r="BA527" t="s">
        <v>67</v>
      </c>
      <c r="BB527" t="s">
        <v>997</v>
      </c>
    </row>
    <row r="528" spans="1:54" x14ac:dyDescent="0.3">
      <c r="A528">
        <v>1</v>
      </c>
      <c r="B528">
        <v>15</v>
      </c>
      <c r="C528" t="s">
        <v>54</v>
      </c>
      <c r="D528" s="3">
        <v>46169.384409722217</v>
      </c>
      <c r="E528" s="8">
        <v>46225</v>
      </c>
      <c r="F528" t="s">
        <v>1892</v>
      </c>
      <c r="G528" t="s">
        <v>56</v>
      </c>
      <c r="H528" t="s">
        <v>1893</v>
      </c>
      <c r="I528" t="s">
        <v>1894</v>
      </c>
      <c r="J528" t="s">
        <v>363</v>
      </c>
      <c r="K528" t="s">
        <v>1895</v>
      </c>
      <c r="L528" t="s">
        <v>1896</v>
      </c>
      <c r="M528" t="s">
        <v>366</v>
      </c>
      <c r="O528" t="s">
        <v>1067</v>
      </c>
      <c r="P528" t="s">
        <v>1068</v>
      </c>
      <c r="Q528" s="5">
        <v>1</v>
      </c>
      <c r="R528" s="6">
        <v>76</v>
      </c>
      <c r="S528" s="6">
        <v>76</v>
      </c>
      <c r="T528" s="6">
        <v>47.08</v>
      </c>
      <c r="U528" s="3">
        <v>46323.25</v>
      </c>
      <c r="V528" t="s">
        <v>961</v>
      </c>
      <c r="W528" t="s">
        <v>1899</v>
      </c>
      <c r="X528" t="s">
        <v>70</v>
      </c>
      <c r="Y528" t="s">
        <v>23</v>
      </c>
      <c r="Z528" t="s">
        <v>69</v>
      </c>
      <c r="AA528" t="s">
        <v>69</v>
      </c>
      <c r="AB528" t="s">
        <v>70</v>
      </c>
      <c r="AC528" t="s">
        <v>70</v>
      </c>
      <c r="AD528" t="s">
        <v>370</v>
      </c>
      <c r="AE528" t="s">
        <v>102</v>
      </c>
      <c r="AF528" t="s">
        <v>67</v>
      </c>
      <c r="AH528" t="b">
        <v>0</v>
      </c>
      <c r="AI528" t="b">
        <v>0</v>
      </c>
      <c r="AJ528" t="b">
        <v>0</v>
      </c>
      <c r="AK528" t="b">
        <v>0</v>
      </c>
      <c r="AL528" s="6">
        <v>47.08</v>
      </c>
      <c r="AM528" s="3">
        <v>46323.25</v>
      </c>
      <c r="AN528">
        <v>1</v>
      </c>
      <c r="AO528" s="3"/>
      <c r="AP528" t="s">
        <v>112</v>
      </c>
      <c r="AQ528" t="s">
        <v>112</v>
      </c>
      <c r="AR528" t="s">
        <v>1274</v>
      </c>
      <c r="AS528">
        <v>1</v>
      </c>
      <c r="AT528" t="b">
        <v>0</v>
      </c>
      <c r="AU528" t="s">
        <v>114</v>
      </c>
      <c r="AV528" t="b">
        <v>1</v>
      </c>
      <c r="AW528" t="b">
        <v>0</v>
      </c>
      <c r="AX528" s="5">
        <v>0</v>
      </c>
      <c r="AY528" s="3"/>
      <c r="AZ528" t="s">
        <v>67</v>
      </c>
      <c r="BA528" t="s">
        <v>67</v>
      </c>
      <c r="BB528" t="s">
        <v>997</v>
      </c>
    </row>
    <row r="529" spans="1:54" x14ac:dyDescent="0.3">
      <c r="A529">
        <v>1</v>
      </c>
      <c r="B529">
        <v>15</v>
      </c>
      <c r="C529" t="s">
        <v>54</v>
      </c>
      <c r="D529" s="3">
        <v>46169.744085648148</v>
      </c>
      <c r="E529" s="8">
        <v>46169</v>
      </c>
      <c r="F529" t="s">
        <v>1900</v>
      </c>
      <c r="G529" t="s">
        <v>56</v>
      </c>
      <c r="H529" t="s">
        <v>1064</v>
      </c>
      <c r="I529" t="s">
        <v>1065</v>
      </c>
      <c r="J529" t="s">
        <v>363</v>
      </c>
      <c r="K529" t="s">
        <v>1066</v>
      </c>
      <c r="L529" t="s">
        <v>741</v>
      </c>
      <c r="M529" t="s">
        <v>366</v>
      </c>
      <c r="N529" t="s">
        <v>366</v>
      </c>
      <c r="O529" t="s">
        <v>506</v>
      </c>
      <c r="P529" t="s">
        <v>507</v>
      </c>
      <c r="Q529" s="5">
        <v>1</v>
      </c>
      <c r="R529" s="6">
        <v>237.8</v>
      </c>
      <c r="S529" s="6">
        <v>237.8</v>
      </c>
      <c r="T529" s="6">
        <v>113.21</v>
      </c>
      <c r="U529" s="3">
        <v>46225.229166666657</v>
      </c>
      <c r="W529" t="s">
        <v>1069</v>
      </c>
      <c r="X529" t="s">
        <v>67</v>
      </c>
      <c r="Y529" t="s">
        <v>68</v>
      </c>
      <c r="Z529" t="s">
        <v>69</v>
      </c>
      <c r="AA529" t="s">
        <v>69</v>
      </c>
      <c r="AB529" t="s">
        <v>67</v>
      </c>
      <c r="AC529" t="s">
        <v>70</v>
      </c>
      <c r="AD529" t="s">
        <v>745</v>
      </c>
      <c r="AE529" t="s">
        <v>371</v>
      </c>
      <c r="AF529" t="s">
        <v>67</v>
      </c>
      <c r="AG529" t="s">
        <v>509</v>
      </c>
      <c r="AH529" t="b">
        <v>0</v>
      </c>
      <c r="AI529" t="b">
        <v>1</v>
      </c>
      <c r="AJ529" t="b">
        <v>1</v>
      </c>
      <c r="AK529" t="b">
        <v>1</v>
      </c>
      <c r="AL529" s="6">
        <v>113.21</v>
      </c>
      <c r="AM529" s="3">
        <v>46225.229166666657</v>
      </c>
      <c r="AN529">
        <v>1</v>
      </c>
      <c r="AO529" s="3"/>
      <c r="AT529" t="b">
        <v>0</v>
      </c>
      <c r="AU529" t="s">
        <v>74</v>
      </c>
      <c r="AV529" t="b">
        <v>1</v>
      </c>
      <c r="AW529" t="b">
        <v>0</v>
      </c>
      <c r="AX529" s="5">
        <v>0</v>
      </c>
      <c r="AY529" s="3"/>
      <c r="AZ529" t="s">
        <v>67</v>
      </c>
      <c r="BA529" t="s">
        <v>67</v>
      </c>
      <c r="BB529" t="s">
        <v>317</v>
      </c>
    </row>
    <row r="530" spans="1:54" x14ac:dyDescent="0.3">
      <c r="A530">
        <v>1</v>
      </c>
      <c r="B530">
        <v>15</v>
      </c>
      <c r="C530" t="s">
        <v>54</v>
      </c>
      <c r="D530" s="3">
        <v>46181.338090277779</v>
      </c>
      <c r="E530" s="8">
        <v>46184</v>
      </c>
      <c r="F530" t="s">
        <v>1901</v>
      </c>
      <c r="G530" t="s">
        <v>56</v>
      </c>
      <c r="H530" t="s">
        <v>1902</v>
      </c>
      <c r="I530" t="s">
        <v>1903</v>
      </c>
      <c r="J530" t="s">
        <v>59</v>
      </c>
      <c r="K530" t="s">
        <v>60</v>
      </c>
      <c r="L530" t="s">
        <v>61</v>
      </c>
      <c r="M530" t="s">
        <v>62</v>
      </c>
      <c r="N530" t="s">
        <v>62</v>
      </c>
      <c r="O530" t="s">
        <v>82</v>
      </c>
      <c r="P530" t="s">
        <v>83</v>
      </c>
      <c r="Q530" s="5">
        <v>1</v>
      </c>
      <c r="R530" s="6">
        <v>140</v>
      </c>
      <c r="S530" s="6">
        <v>140</v>
      </c>
      <c r="T530" s="6">
        <v>93.1</v>
      </c>
      <c r="U530" s="3">
        <v>46279.458333333343</v>
      </c>
      <c r="W530" t="s">
        <v>1904</v>
      </c>
      <c r="X530" t="s">
        <v>67</v>
      </c>
      <c r="Y530" t="s">
        <v>68</v>
      </c>
      <c r="Z530" t="s">
        <v>1853</v>
      </c>
      <c r="AA530" t="s">
        <v>522</v>
      </c>
      <c r="AB530" t="s">
        <v>67</v>
      </c>
      <c r="AC530" t="s">
        <v>70</v>
      </c>
      <c r="AD530" t="s">
        <v>71</v>
      </c>
      <c r="AE530" t="s">
        <v>84</v>
      </c>
      <c r="AF530" t="s">
        <v>67</v>
      </c>
      <c r="AG530" t="s">
        <v>82</v>
      </c>
      <c r="AH530" t="b">
        <v>0</v>
      </c>
      <c r="AI530" t="b">
        <v>0</v>
      </c>
      <c r="AJ530" t="b">
        <v>0</v>
      </c>
      <c r="AK530" t="b">
        <v>0</v>
      </c>
      <c r="AL530" s="6">
        <v>93.1</v>
      </c>
      <c r="AM530" s="3">
        <v>46279.458333333343</v>
      </c>
      <c r="AN530">
        <v>1</v>
      </c>
      <c r="AO530" s="3"/>
      <c r="AT530" t="b">
        <v>0</v>
      </c>
      <c r="AU530" t="s">
        <v>74</v>
      </c>
      <c r="AV530" t="b">
        <v>1</v>
      </c>
      <c r="AW530" t="b">
        <v>0</v>
      </c>
      <c r="AX530" s="5">
        <v>0</v>
      </c>
      <c r="AY530" s="3"/>
      <c r="AZ530" t="s">
        <v>67</v>
      </c>
      <c r="BA530" t="s">
        <v>67</v>
      </c>
      <c r="BB530" t="s">
        <v>317</v>
      </c>
    </row>
    <row r="531" spans="1:54" x14ac:dyDescent="0.3">
      <c r="A531">
        <v>1</v>
      </c>
      <c r="B531">
        <v>15</v>
      </c>
      <c r="C531" t="s">
        <v>54</v>
      </c>
      <c r="D531" s="3">
        <v>46181.338090277779</v>
      </c>
      <c r="E531" s="8">
        <v>46184</v>
      </c>
      <c r="F531" t="s">
        <v>1901</v>
      </c>
      <c r="G531" t="s">
        <v>56</v>
      </c>
      <c r="H531" t="s">
        <v>1902</v>
      </c>
      <c r="I531" t="s">
        <v>1903</v>
      </c>
      <c r="J531" t="s">
        <v>59</v>
      </c>
      <c r="K531" t="s">
        <v>60</v>
      </c>
      <c r="L531" t="s">
        <v>61</v>
      </c>
      <c r="M531" t="s">
        <v>62</v>
      </c>
      <c r="N531" t="s">
        <v>62</v>
      </c>
      <c r="O531" t="s">
        <v>1905</v>
      </c>
      <c r="P531" t="s">
        <v>1906</v>
      </c>
      <c r="Q531" s="5">
        <v>1</v>
      </c>
      <c r="R531" s="6">
        <v>570</v>
      </c>
      <c r="S531" s="6">
        <v>570</v>
      </c>
      <c r="T531" s="6">
        <v>183.15</v>
      </c>
      <c r="U531" s="3">
        <v>46279.458333333343</v>
      </c>
      <c r="W531" t="s">
        <v>1904</v>
      </c>
      <c r="X531" t="s">
        <v>67</v>
      </c>
      <c r="Y531" t="s">
        <v>68</v>
      </c>
      <c r="Z531" t="s">
        <v>1853</v>
      </c>
      <c r="AA531" t="s">
        <v>522</v>
      </c>
      <c r="AB531" t="s">
        <v>67</v>
      </c>
      <c r="AC531" t="s">
        <v>70</v>
      </c>
      <c r="AD531" t="s">
        <v>71</v>
      </c>
      <c r="AE531" t="s">
        <v>77</v>
      </c>
      <c r="AF531" t="s">
        <v>67</v>
      </c>
      <c r="AG531" t="s">
        <v>1907</v>
      </c>
      <c r="AH531" t="b">
        <v>0</v>
      </c>
      <c r="AI531" t="b">
        <v>0</v>
      </c>
      <c r="AJ531" t="b">
        <v>0</v>
      </c>
      <c r="AK531" t="b">
        <v>0</v>
      </c>
      <c r="AL531" s="6">
        <v>183.15</v>
      </c>
      <c r="AM531" s="3">
        <v>46279.458333333343</v>
      </c>
      <c r="AN531">
        <v>1</v>
      </c>
      <c r="AO531" s="3"/>
      <c r="AT531" t="b">
        <v>0</v>
      </c>
      <c r="AU531" t="s">
        <v>74</v>
      </c>
      <c r="AV531" t="b">
        <v>1</v>
      </c>
      <c r="AW531" t="b">
        <v>0</v>
      </c>
      <c r="AX531" s="5">
        <v>0</v>
      </c>
      <c r="AY531" s="3"/>
      <c r="AZ531" t="s">
        <v>67</v>
      </c>
      <c r="BA531" t="s">
        <v>67</v>
      </c>
      <c r="BB531" t="s">
        <v>317</v>
      </c>
    </row>
    <row r="532" spans="1:54" x14ac:dyDescent="0.3">
      <c r="A532">
        <v>1</v>
      </c>
      <c r="B532">
        <v>15</v>
      </c>
      <c r="C532" t="s">
        <v>54</v>
      </c>
      <c r="D532" s="3">
        <v>46181.338090277779</v>
      </c>
      <c r="E532" s="8">
        <v>46184</v>
      </c>
      <c r="F532" t="s">
        <v>1901</v>
      </c>
      <c r="G532" t="s">
        <v>56</v>
      </c>
      <c r="H532" t="s">
        <v>1902</v>
      </c>
      <c r="I532" t="s">
        <v>1903</v>
      </c>
      <c r="J532" t="s">
        <v>59</v>
      </c>
      <c r="K532" t="s">
        <v>60</v>
      </c>
      <c r="L532" t="s">
        <v>61</v>
      </c>
      <c r="M532" t="s">
        <v>62</v>
      </c>
      <c r="N532" t="s">
        <v>62</v>
      </c>
      <c r="O532" t="s">
        <v>1908</v>
      </c>
      <c r="P532" t="s">
        <v>1909</v>
      </c>
      <c r="Q532" s="5">
        <v>1</v>
      </c>
      <c r="R532" s="6">
        <v>570</v>
      </c>
      <c r="S532" s="6">
        <v>570</v>
      </c>
      <c r="T532" s="6">
        <v>183.15</v>
      </c>
      <c r="U532" s="3">
        <v>46279.458333333343</v>
      </c>
      <c r="W532" t="s">
        <v>1904</v>
      </c>
      <c r="X532" t="s">
        <v>67</v>
      </c>
      <c r="Y532" t="s">
        <v>68</v>
      </c>
      <c r="Z532" t="s">
        <v>1853</v>
      </c>
      <c r="AA532" t="s">
        <v>522</v>
      </c>
      <c r="AB532" t="s">
        <v>67</v>
      </c>
      <c r="AC532" t="s">
        <v>70</v>
      </c>
      <c r="AD532" t="s">
        <v>71</v>
      </c>
      <c r="AE532" t="s">
        <v>77</v>
      </c>
      <c r="AF532" t="s">
        <v>67</v>
      </c>
      <c r="AG532" t="s">
        <v>1910</v>
      </c>
      <c r="AH532" t="b">
        <v>0</v>
      </c>
      <c r="AI532" t="b">
        <v>0</v>
      </c>
      <c r="AJ532" t="b">
        <v>0</v>
      </c>
      <c r="AK532" t="b">
        <v>0</v>
      </c>
      <c r="AL532" s="6">
        <v>183.15</v>
      </c>
      <c r="AM532" s="3">
        <v>46279.458333333343</v>
      </c>
      <c r="AN532">
        <v>1</v>
      </c>
      <c r="AO532" s="3"/>
      <c r="AT532" t="b">
        <v>0</v>
      </c>
      <c r="AU532" t="s">
        <v>74</v>
      </c>
      <c r="AV532" t="b">
        <v>1</v>
      </c>
      <c r="AW532" t="b">
        <v>0</v>
      </c>
      <c r="AX532" s="5">
        <v>0</v>
      </c>
      <c r="AY532" s="3"/>
      <c r="AZ532" t="s">
        <v>67</v>
      </c>
      <c r="BA532" t="s">
        <v>67</v>
      </c>
      <c r="BB532" t="s">
        <v>317</v>
      </c>
    </row>
    <row r="533" spans="1:54" x14ac:dyDescent="0.3">
      <c r="A533">
        <v>1</v>
      </c>
      <c r="B533">
        <v>15</v>
      </c>
      <c r="C533" t="s">
        <v>54</v>
      </c>
      <c r="D533" s="3">
        <v>46181.338090277779</v>
      </c>
      <c r="E533" s="8">
        <v>46184</v>
      </c>
      <c r="F533" t="s">
        <v>1901</v>
      </c>
      <c r="G533" t="s">
        <v>56</v>
      </c>
      <c r="H533" t="s">
        <v>1902</v>
      </c>
      <c r="I533" t="s">
        <v>1903</v>
      </c>
      <c r="J533" t="s">
        <v>59</v>
      </c>
      <c r="K533" t="s">
        <v>60</v>
      </c>
      <c r="L533" t="s">
        <v>61</v>
      </c>
      <c r="M533" t="s">
        <v>62</v>
      </c>
      <c r="N533" t="s">
        <v>62</v>
      </c>
      <c r="O533" t="s">
        <v>1016</v>
      </c>
      <c r="P533" t="s">
        <v>1017</v>
      </c>
      <c r="Q533" s="5">
        <v>2</v>
      </c>
      <c r="R533" s="6">
        <v>33</v>
      </c>
      <c r="S533" s="6">
        <v>66</v>
      </c>
      <c r="T533" s="6">
        <v>23.4</v>
      </c>
      <c r="U533" s="3">
        <v>46279.458333333343</v>
      </c>
      <c r="W533" t="s">
        <v>1904</v>
      </c>
      <c r="X533" t="s">
        <v>67</v>
      </c>
      <c r="Y533" t="s">
        <v>68</v>
      </c>
      <c r="Z533" t="s">
        <v>1853</v>
      </c>
      <c r="AA533" t="s">
        <v>522</v>
      </c>
      <c r="AB533" t="s">
        <v>67</v>
      </c>
      <c r="AC533" t="s">
        <v>70</v>
      </c>
      <c r="AD533" t="s">
        <v>71</v>
      </c>
      <c r="AE533" t="s">
        <v>77</v>
      </c>
      <c r="AF533" t="s">
        <v>67</v>
      </c>
      <c r="AG533" t="s">
        <v>1018</v>
      </c>
      <c r="AH533" t="b">
        <v>0</v>
      </c>
      <c r="AI533" t="b">
        <v>0</v>
      </c>
      <c r="AJ533" t="b">
        <v>0</v>
      </c>
      <c r="AK533" t="b">
        <v>0</v>
      </c>
      <c r="AL533" s="6">
        <v>11.7</v>
      </c>
      <c r="AM533" s="3">
        <v>46279.458333333343</v>
      </c>
      <c r="AN533">
        <v>1</v>
      </c>
      <c r="AO533" s="3"/>
      <c r="AT533" t="b">
        <v>0</v>
      </c>
      <c r="AU533" t="s">
        <v>74</v>
      </c>
      <c r="AV533" t="b">
        <v>1</v>
      </c>
      <c r="AW533" t="b">
        <v>0</v>
      </c>
      <c r="AX533" s="5">
        <v>0</v>
      </c>
      <c r="AY533" s="3"/>
      <c r="AZ533" t="s">
        <v>67</v>
      </c>
      <c r="BA533" t="s">
        <v>67</v>
      </c>
      <c r="BB533" t="s">
        <v>317</v>
      </c>
    </row>
    <row r="534" spans="1:54" x14ac:dyDescent="0.3">
      <c r="A534">
        <v>1</v>
      </c>
      <c r="B534">
        <v>15</v>
      </c>
      <c r="C534" t="s">
        <v>54</v>
      </c>
      <c r="D534" s="3">
        <v>46181.640208333331</v>
      </c>
      <c r="E534" s="8">
        <v>46181</v>
      </c>
      <c r="F534" t="s">
        <v>1911</v>
      </c>
      <c r="G534" t="s">
        <v>56</v>
      </c>
      <c r="H534" t="s">
        <v>244</v>
      </c>
      <c r="I534" t="s">
        <v>245</v>
      </c>
      <c r="J534" t="s">
        <v>59</v>
      </c>
      <c r="K534" t="s">
        <v>246</v>
      </c>
      <c r="L534" t="s">
        <v>61</v>
      </c>
      <c r="M534" t="s">
        <v>62</v>
      </c>
      <c r="N534" t="s">
        <v>62</v>
      </c>
      <c r="O534" t="s">
        <v>82</v>
      </c>
      <c r="P534" t="s">
        <v>83</v>
      </c>
      <c r="Q534" s="5">
        <v>2</v>
      </c>
      <c r="R534" s="6">
        <v>140</v>
      </c>
      <c r="S534" s="6">
        <v>280</v>
      </c>
      <c r="T534" s="6">
        <v>186.2</v>
      </c>
      <c r="U534" s="3">
        <v>46332.458333333343</v>
      </c>
      <c r="W534" t="s">
        <v>249</v>
      </c>
      <c r="X534" t="s">
        <v>67</v>
      </c>
      <c r="Y534" t="s">
        <v>68</v>
      </c>
      <c r="Z534" t="s">
        <v>69</v>
      </c>
      <c r="AA534" t="s">
        <v>69</v>
      </c>
      <c r="AB534" t="s">
        <v>67</v>
      </c>
      <c r="AC534" t="s">
        <v>67</v>
      </c>
      <c r="AD534" t="s">
        <v>71</v>
      </c>
      <c r="AE534" t="s">
        <v>84</v>
      </c>
      <c r="AF534" t="s">
        <v>67</v>
      </c>
      <c r="AG534" t="s">
        <v>82</v>
      </c>
      <c r="AH534" t="b">
        <v>0</v>
      </c>
      <c r="AI534" t="b">
        <v>0</v>
      </c>
      <c r="AJ534" t="b">
        <v>1</v>
      </c>
      <c r="AK534" t="b">
        <v>0</v>
      </c>
      <c r="AL534" s="6">
        <v>93.1</v>
      </c>
      <c r="AM534" s="3">
        <v>46154.229166666657</v>
      </c>
      <c r="AN534">
        <v>1</v>
      </c>
      <c r="AO534" s="3"/>
      <c r="AT534" t="b">
        <v>0</v>
      </c>
      <c r="AU534" t="s">
        <v>74</v>
      </c>
      <c r="AV534" t="b">
        <v>1</v>
      </c>
      <c r="AW534" t="b">
        <v>0</v>
      </c>
      <c r="AX534" s="5">
        <v>0</v>
      </c>
      <c r="AY534" s="3"/>
      <c r="AZ534" t="s">
        <v>67</v>
      </c>
      <c r="BA534" t="s">
        <v>67</v>
      </c>
      <c r="BB534" t="s">
        <v>317</v>
      </c>
    </row>
    <row r="535" spans="1:54" x14ac:dyDescent="0.3">
      <c r="A535">
        <v>1</v>
      </c>
      <c r="B535">
        <v>15</v>
      </c>
      <c r="C535" t="s">
        <v>54</v>
      </c>
      <c r="D535" s="3">
        <v>46182.421354166669</v>
      </c>
      <c r="E535" s="8">
        <v>46182</v>
      </c>
      <c r="F535" t="s">
        <v>1912</v>
      </c>
      <c r="G535" t="s">
        <v>56</v>
      </c>
      <c r="H535" t="s">
        <v>1913</v>
      </c>
      <c r="I535" t="s">
        <v>1914</v>
      </c>
      <c r="J535" t="s">
        <v>59</v>
      </c>
      <c r="L535" t="s">
        <v>61</v>
      </c>
      <c r="M535" t="s">
        <v>62</v>
      </c>
      <c r="N535" t="s">
        <v>62</v>
      </c>
      <c r="O535" t="s">
        <v>239</v>
      </c>
      <c r="P535" t="s">
        <v>240</v>
      </c>
      <c r="Q535" s="5">
        <v>1</v>
      </c>
      <c r="R535" s="6">
        <v>660</v>
      </c>
      <c r="S535" s="6">
        <v>660</v>
      </c>
      <c r="T535" s="6">
        <v>440</v>
      </c>
      <c r="U535" s="3">
        <v>46182.229166666657</v>
      </c>
      <c r="W535" t="s">
        <v>1915</v>
      </c>
      <c r="X535" t="s">
        <v>67</v>
      </c>
      <c r="Y535" t="s">
        <v>68</v>
      </c>
      <c r="Z535" t="s">
        <v>69</v>
      </c>
      <c r="AA535" t="s">
        <v>69</v>
      </c>
      <c r="AB535" t="s">
        <v>67</v>
      </c>
      <c r="AC535" t="s">
        <v>70</v>
      </c>
      <c r="AD535" t="s">
        <v>71</v>
      </c>
      <c r="AE535" t="s">
        <v>242</v>
      </c>
      <c r="AF535" t="s">
        <v>67</v>
      </c>
      <c r="AG535" t="s">
        <v>243</v>
      </c>
      <c r="AH535" t="b">
        <v>0</v>
      </c>
      <c r="AI535" t="b">
        <v>0</v>
      </c>
      <c r="AJ535" t="b">
        <v>0</v>
      </c>
      <c r="AK535" t="b">
        <v>0</v>
      </c>
      <c r="AL535" s="6">
        <v>440</v>
      </c>
      <c r="AM535" s="3">
        <v>46182.229166666657</v>
      </c>
      <c r="AN535">
        <v>1</v>
      </c>
      <c r="AO535" s="3"/>
      <c r="AT535" t="b">
        <v>0</v>
      </c>
      <c r="AU535" t="s">
        <v>74</v>
      </c>
      <c r="AV535" t="b">
        <v>1</v>
      </c>
      <c r="AW535" t="b">
        <v>0</v>
      </c>
      <c r="AX535" s="5">
        <v>0</v>
      </c>
      <c r="AY535" s="3"/>
      <c r="AZ535" t="s">
        <v>67</v>
      </c>
      <c r="BA535" t="s">
        <v>67</v>
      </c>
      <c r="BB535" t="s">
        <v>317</v>
      </c>
    </row>
    <row r="536" spans="1:54" x14ac:dyDescent="0.3">
      <c r="A536">
        <v>1</v>
      </c>
      <c r="B536">
        <v>15</v>
      </c>
      <c r="C536" t="s">
        <v>54</v>
      </c>
      <c r="D536" s="3">
        <v>46182.433888888889</v>
      </c>
      <c r="E536" s="8">
        <v>46182</v>
      </c>
      <c r="F536" t="s">
        <v>1916</v>
      </c>
      <c r="G536" t="s">
        <v>56</v>
      </c>
      <c r="H536" t="s">
        <v>1917</v>
      </c>
      <c r="I536" t="s">
        <v>1918</v>
      </c>
      <c r="J536" t="s">
        <v>59</v>
      </c>
      <c r="L536" t="s">
        <v>61</v>
      </c>
      <c r="M536" t="s">
        <v>62</v>
      </c>
      <c r="N536" t="s">
        <v>62</v>
      </c>
      <c r="O536" t="s">
        <v>82</v>
      </c>
      <c r="P536" t="s">
        <v>83</v>
      </c>
      <c r="Q536" s="5">
        <v>1</v>
      </c>
      <c r="R536" s="6">
        <v>140</v>
      </c>
      <c r="S536" s="6">
        <v>140</v>
      </c>
      <c r="T536" s="6">
        <v>93.1</v>
      </c>
      <c r="U536" s="3">
        <v>46238.458333333343</v>
      </c>
      <c r="W536" t="s">
        <v>1919</v>
      </c>
      <c r="X536" t="s">
        <v>70</v>
      </c>
      <c r="Y536" t="s">
        <v>68</v>
      </c>
      <c r="Z536" t="s">
        <v>1920</v>
      </c>
      <c r="AA536" t="s">
        <v>1921</v>
      </c>
      <c r="AB536" t="s">
        <v>67</v>
      </c>
      <c r="AC536" t="s">
        <v>70</v>
      </c>
      <c r="AD536" t="s">
        <v>71</v>
      </c>
      <c r="AE536" t="s">
        <v>84</v>
      </c>
      <c r="AF536" t="s">
        <v>67</v>
      </c>
      <c r="AG536" t="s">
        <v>82</v>
      </c>
      <c r="AH536" t="b">
        <v>0</v>
      </c>
      <c r="AI536" t="b">
        <v>0</v>
      </c>
      <c r="AJ536" t="b">
        <v>0</v>
      </c>
      <c r="AK536" t="b">
        <v>0</v>
      </c>
      <c r="AL536" s="6">
        <v>93.1</v>
      </c>
      <c r="AM536" s="3">
        <v>46225.333333333343</v>
      </c>
      <c r="AN536">
        <v>0</v>
      </c>
      <c r="AO536" s="3"/>
      <c r="AT536" t="b">
        <v>0</v>
      </c>
      <c r="AU536" t="s">
        <v>74</v>
      </c>
      <c r="AV536" t="b">
        <v>1</v>
      </c>
      <c r="AW536" t="b">
        <v>0</v>
      </c>
      <c r="AX536" s="5">
        <v>0</v>
      </c>
      <c r="AY536" s="3"/>
      <c r="AZ536" t="s">
        <v>67</v>
      </c>
      <c r="BA536" t="s">
        <v>67</v>
      </c>
      <c r="BB536" t="s">
        <v>317</v>
      </c>
    </row>
    <row r="537" spans="1:54" x14ac:dyDescent="0.3">
      <c r="A537">
        <v>1</v>
      </c>
      <c r="B537">
        <v>15</v>
      </c>
      <c r="C537" t="s">
        <v>54</v>
      </c>
      <c r="D537" s="3">
        <v>46182.433888888889</v>
      </c>
      <c r="E537" s="8">
        <v>46182</v>
      </c>
      <c r="F537" t="s">
        <v>1916</v>
      </c>
      <c r="G537" t="s">
        <v>56</v>
      </c>
      <c r="H537" t="s">
        <v>1917</v>
      </c>
      <c r="I537" t="s">
        <v>1918</v>
      </c>
      <c r="J537" t="s">
        <v>59</v>
      </c>
      <c r="L537" t="s">
        <v>61</v>
      </c>
      <c r="M537" t="s">
        <v>62</v>
      </c>
      <c r="N537" t="s">
        <v>62</v>
      </c>
      <c r="O537" t="s">
        <v>82</v>
      </c>
      <c r="P537" t="s">
        <v>83</v>
      </c>
      <c r="Q537" s="5">
        <v>1</v>
      </c>
      <c r="R537" s="6">
        <v>140</v>
      </c>
      <c r="S537" s="6">
        <v>140</v>
      </c>
      <c r="T537" s="6">
        <v>93.1</v>
      </c>
      <c r="U537" s="3">
        <v>46238.458333333343</v>
      </c>
      <c r="W537" t="s">
        <v>1919</v>
      </c>
      <c r="X537" t="s">
        <v>70</v>
      </c>
      <c r="Y537" t="s">
        <v>68</v>
      </c>
      <c r="Z537" t="s">
        <v>1920</v>
      </c>
      <c r="AA537" t="s">
        <v>1921</v>
      </c>
      <c r="AB537" t="s">
        <v>67</v>
      </c>
      <c r="AC537" t="s">
        <v>70</v>
      </c>
      <c r="AD537" t="s">
        <v>71</v>
      </c>
      <c r="AE537" t="s">
        <v>84</v>
      </c>
      <c r="AF537" t="s">
        <v>67</v>
      </c>
      <c r="AG537" t="s">
        <v>82</v>
      </c>
      <c r="AH537" t="b">
        <v>0</v>
      </c>
      <c r="AI537" t="b">
        <v>0</v>
      </c>
      <c r="AJ537" t="b">
        <v>0</v>
      </c>
      <c r="AK537" t="b">
        <v>0</v>
      </c>
      <c r="AL537" s="6">
        <v>93.1</v>
      </c>
      <c r="AM537" s="3">
        <v>46225.333333333343</v>
      </c>
      <c r="AN537">
        <v>1</v>
      </c>
      <c r="AO537" s="3"/>
      <c r="AT537" t="b">
        <v>0</v>
      </c>
      <c r="AU537" t="s">
        <v>74</v>
      </c>
      <c r="AV537" t="b">
        <v>1</v>
      </c>
      <c r="AW537" t="b">
        <v>0</v>
      </c>
      <c r="AX537" s="5">
        <v>0</v>
      </c>
      <c r="AY537" s="3"/>
      <c r="AZ537" t="s">
        <v>67</v>
      </c>
      <c r="BA537" t="s">
        <v>67</v>
      </c>
      <c r="BB537" t="s">
        <v>317</v>
      </c>
    </row>
    <row r="538" spans="1:54" x14ac:dyDescent="0.3">
      <c r="A538">
        <v>1</v>
      </c>
      <c r="B538">
        <v>15</v>
      </c>
      <c r="C538" t="s">
        <v>54</v>
      </c>
      <c r="D538" s="3">
        <v>46182.433888888889</v>
      </c>
      <c r="E538" s="8">
        <v>46182</v>
      </c>
      <c r="F538" t="s">
        <v>1916</v>
      </c>
      <c r="G538" t="s">
        <v>56</v>
      </c>
      <c r="H538" t="s">
        <v>1917</v>
      </c>
      <c r="I538" t="s">
        <v>1918</v>
      </c>
      <c r="J538" t="s">
        <v>59</v>
      </c>
      <c r="L538" t="s">
        <v>61</v>
      </c>
      <c r="M538" t="s">
        <v>62</v>
      </c>
      <c r="N538" t="s">
        <v>62</v>
      </c>
      <c r="O538" t="s">
        <v>210</v>
      </c>
      <c r="P538" t="s">
        <v>211</v>
      </c>
      <c r="Q538" s="5">
        <v>1</v>
      </c>
      <c r="R538" s="6">
        <v>350</v>
      </c>
      <c r="S538" s="6">
        <v>350</v>
      </c>
      <c r="T538" s="6">
        <v>250</v>
      </c>
      <c r="U538" s="3">
        <v>46238.458333333343</v>
      </c>
      <c r="W538" t="s">
        <v>1919</v>
      </c>
      <c r="X538" t="s">
        <v>70</v>
      </c>
      <c r="Y538" t="s">
        <v>23</v>
      </c>
      <c r="Z538" t="s">
        <v>1920</v>
      </c>
      <c r="AA538" t="s">
        <v>1921</v>
      </c>
      <c r="AB538" t="s">
        <v>67</v>
      </c>
      <c r="AC538" t="s">
        <v>70</v>
      </c>
      <c r="AD538" t="s">
        <v>71</v>
      </c>
      <c r="AE538" t="s">
        <v>212</v>
      </c>
      <c r="AF538" t="s">
        <v>67</v>
      </c>
      <c r="AH538" t="b">
        <v>0</v>
      </c>
      <c r="AI538" t="b">
        <v>0</v>
      </c>
      <c r="AJ538" t="b">
        <v>0</v>
      </c>
      <c r="AK538" t="b">
        <v>0</v>
      </c>
      <c r="AL538" s="6">
        <v>250</v>
      </c>
      <c r="AM538" s="3">
        <v>46225.333333333343</v>
      </c>
      <c r="AN538">
        <v>0</v>
      </c>
      <c r="AO538" s="3"/>
      <c r="AT538" t="b">
        <v>0</v>
      </c>
      <c r="AU538" t="s">
        <v>74</v>
      </c>
      <c r="AV538" t="b">
        <v>1</v>
      </c>
      <c r="AW538" t="b">
        <v>0</v>
      </c>
      <c r="AX538" s="5">
        <v>0</v>
      </c>
      <c r="AY538" s="3"/>
      <c r="AZ538" t="s">
        <v>67</v>
      </c>
      <c r="BA538" t="s">
        <v>67</v>
      </c>
      <c r="BB538" t="s">
        <v>317</v>
      </c>
    </row>
    <row r="539" spans="1:54" x14ac:dyDescent="0.3">
      <c r="A539">
        <v>1</v>
      </c>
      <c r="B539">
        <v>15</v>
      </c>
      <c r="C539" t="s">
        <v>54</v>
      </c>
      <c r="D539" s="3">
        <v>46182.433888888889</v>
      </c>
      <c r="E539" s="8">
        <v>46182</v>
      </c>
      <c r="F539" t="s">
        <v>1916</v>
      </c>
      <c r="G539" t="s">
        <v>56</v>
      </c>
      <c r="H539" t="s">
        <v>1917</v>
      </c>
      <c r="I539" t="s">
        <v>1918</v>
      </c>
      <c r="J539" t="s">
        <v>59</v>
      </c>
      <c r="L539" t="s">
        <v>61</v>
      </c>
      <c r="M539" t="s">
        <v>62</v>
      </c>
      <c r="N539" t="s">
        <v>62</v>
      </c>
      <c r="O539" t="s">
        <v>210</v>
      </c>
      <c r="P539" t="s">
        <v>211</v>
      </c>
      <c r="Q539" s="5">
        <v>1</v>
      </c>
      <c r="R539" s="6">
        <v>350</v>
      </c>
      <c r="S539" s="6">
        <v>350</v>
      </c>
      <c r="T539" s="6">
        <v>250</v>
      </c>
      <c r="U539" s="3">
        <v>46238.458333333343</v>
      </c>
      <c r="W539" t="s">
        <v>1919</v>
      </c>
      <c r="X539" t="s">
        <v>70</v>
      </c>
      <c r="Y539" t="s">
        <v>23</v>
      </c>
      <c r="Z539" t="s">
        <v>1920</v>
      </c>
      <c r="AA539" t="s">
        <v>1921</v>
      </c>
      <c r="AB539" t="s">
        <v>67</v>
      </c>
      <c r="AC539" t="s">
        <v>70</v>
      </c>
      <c r="AD539" t="s">
        <v>71</v>
      </c>
      <c r="AE539" t="s">
        <v>212</v>
      </c>
      <c r="AF539" t="s">
        <v>67</v>
      </c>
      <c r="AH539" t="b">
        <v>0</v>
      </c>
      <c r="AI539" t="b">
        <v>0</v>
      </c>
      <c r="AJ539" t="b">
        <v>0</v>
      </c>
      <c r="AK539" t="b">
        <v>0</v>
      </c>
      <c r="AL539" s="6">
        <v>250</v>
      </c>
      <c r="AM539" s="3">
        <v>46225.333333333343</v>
      </c>
      <c r="AN539">
        <v>1</v>
      </c>
      <c r="AO539" s="3"/>
      <c r="AT539" t="b">
        <v>0</v>
      </c>
      <c r="AU539" t="s">
        <v>74</v>
      </c>
      <c r="AV539" t="b">
        <v>1</v>
      </c>
      <c r="AW539" t="b">
        <v>0</v>
      </c>
      <c r="AX539" s="5">
        <v>0</v>
      </c>
      <c r="AY539" s="3"/>
      <c r="AZ539" t="s">
        <v>67</v>
      </c>
      <c r="BA539" t="s">
        <v>67</v>
      </c>
      <c r="BB539" t="s">
        <v>317</v>
      </c>
    </row>
    <row r="540" spans="1:54" x14ac:dyDescent="0.3">
      <c r="A540">
        <v>1</v>
      </c>
      <c r="B540">
        <v>15</v>
      </c>
      <c r="C540" t="s">
        <v>54</v>
      </c>
      <c r="D540" s="3">
        <v>46182.433888888889</v>
      </c>
      <c r="E540" s="8">
        <v>46182</v>
      </c>
      <c r="F540" t="s">
        <v>1916</v>
      </c>
      <c r="G540" t="s">
        <v>56</v>
      </c>
      <c r="H540" t="s">
        <v>1917</v>
      </c>
      <c r="I540" t="s">
        <v>1918</v>
      </c>
      <c r="J540" t="s">
        <v>59</v>
      </c>
      <c r="L540" t="s">
        <v>61</v>
      </c>
      <c r="M540" t="s">
        <v>62</v>
      </c>
      <c r="N540" t="s">
        <v>62</v>
      </c>
      <c r="O540" t="s">
        <v>1922</v>
      </c>
      <c r="P540" t="s">
        <v>1923</v>
      </c>
      <c r="Q540" s="5">
        <v>4</v>
      </c>
      <c r="R540" s="6">
        <v>81</v>
      </c>
      <c r="S540" s="6">
        <v>324</v>
      </c>
      <c r="T540" s="6">
        <v>117</v>
      </c>
      <c r="U540" s="3">
        <v>46238.458333333343</v>
      </c>
      <c r="W540" t="s">
        <v>1919</v>
      </c>
      <c r="X540" t="s">
        <v>70</v>
      </c>
      <c r="Y540" t="s">
        <v>68</v>
      </c>
      <c r="Z540" t="s">
        <v>1920</v>
      </c>
      <c r="AA540" t="s">
        <v>1921</v>
      </c>
      <c r="AB540" t="s">
        <v>67</v>
      </c>
      <c r="AC540" t="s">
        <v>70</v>
      </c>
      <c r="AD540" t="s">
        <v>71</v>
      </c>
      <c r="AE540" t="s">
        <v>77</v>
      </c>
      <c r="AF540" t="s">
        <v>67</v>
      </c>
      <c r="AG540" t="s">
        <v>1924</v>
      </c>
      <c r="AH540" t="b">
        <v>0</v>
      </c>
      <c r="AI540" t="b">
        <v>0</v>
      </c>
      <c r="AJ540" t="b">
        <v>0</v>
      </c>
      <c r="AK540" t="b">
        <v>0</v>
      </c>
      <c r="AL540" s="6">
        <v>29.25</v>
      </c>
      <c r="AM540" s="3">
        <v>46225.333333333343</v>
      </c>
      <c r="AN540">
        <v>0</v>
      </c>
      <c r="AO540" s="3"/>
      <c r="AT540" t="b">
        <v>0</v>
      </c>
      <c r="AU540" t="s">
        <v>74</v>
      </c>
      <c r="AV540" t="b">
        <v>1</v>
      </c>
      <c r="AW540" t="b">
        <v>0</v>
      </c>
      <c r="AX540" s="5">
        <v>0</v>
      </c>
      <c r="AY540" s="3"/>
      <c r="AZ540" t="s">
        <v>67</v>
      </c>
      <c r="BA540" t="s">
        <v>67</v>
      </c>
      <c r="BB540" t="s">
        <v>317</v>
      </c>
    </row>
    <row r="541" spans="1:54" x14ac:dyDescent="0.3">
      <c r="A541">
        <v>1</v>
      </c>
      <c r="B541">
        <v>15</v>
      </c>
      <c r="C541" t="s">
        <v>54</v>
      </c>
      <c r="D541" s="3">
        <v>46182.433888888889</v>
      </c>
      <c r="E541" s="8">
        <v>46182</v>
      </c>
      <c r="F541" t="s">
        <v>1916</v>
      </c>
      <c r="G541" t="s">
        <v>56</v>
      </c>
      <c r="H541" t="s">
        <v>1917</v>
      </c>
      <c r="I541" t="s">
        <v>1918</v>
      </c>
      <c r="J541" t="s">
        <v>59</v>
      </c>
      <c r="L541" t="s">
        <v>61</v>
      </c>
      <c r="M541" t="s">
        <v>62</v>
      </c>
      <c r="N541" t="s">
        <v>62</v>
      </c>
      <c r="O541" t="s">
        <v>1922</v>
      </c>
      <c r="P541" t="s">
        <v>1923</v>
      </c>
      <c r="Q541" s="5">
        <v>4</v>
      </c>
      <c r="R541" s="6">
        <v>81</v>
      </c>
      <c r="S541" s="6">
        <v>324</v>
      </c>
      <c r="T541" s="6">
        <v>117</v>
      </c>
      <c r="U541" s="3">
        <v>46238.458333333343</v>
      </c>
      <c r="W541" t="s">
        <v>1919</v>
      </c>
      <c r="X541" t="s">
        <v>70</v>
      </c>
      <c r="Y541" t="s">
        <v>68</v>
      </c>
      <c r="Z541" t="s">
        <v>1920</v>
      </c>
      <c r="AA541" t="s">
        <v>1921</v>
      </c>
      <c r="AB541" t="s">
        <v>67</v>
      </c>
      <c r="AC541" t="s">
        <v>70</v>
      </c>
      <c r="AD541" t="s">
        <v>71</v>
      </c>
      <c r="AE541" t="s">
        <v>77</v>
      </c>
      <c r="AF541" t="s">
        <v>67</v>
      </c>
      <c r="AG541" t="s">
        <v>1924</v>
      </c>
      <c r="AH541" t="b">
        <v>0</v>
      </c>
      <c r="AI541" t="b">
        <v>0</v>
      </c>
      <c r="AJ541" t="b">
        <v>0</v>
      </c>
      <c r="AK541" t="b">
        <v>0</v>
      </c>
      <c r="AL541" s="6">
        <v>29.25</v>
      </c>
      <c r="AM541" s="3">
        <v>46225.333333333343</v>
      </c>
      <c r="AN541">
        <v>1</v>
      </c>
      <c r="AO541" s="3"/>
      <c r="AT541" t="b">
        <v>0</v>
      </c>
      <c r="AU541" t="s">
        <v>74</v>
      </c>
      <c r="AV541" t="b">
        <v>1</v>
      </c>
      <c r="AW541" t="b">
        <v>0</v>
      </c>
      <c r="AX541" s="5">
        <v>0</v>
      </c>
      <c r="AY541" s="3"/>
      <c r="AZ541" t="s">
        <v>67</v>
      </c>
      <c r="BA541" t="s">
        <v>67</v>
      </c>
      <c r="BB541" t="s">
        <v>317</v>
      </c>
    </row>
    <row r="542" spans="1:54" x14ac:dyDescent="0.3">
      <c r="A542">
        <v>1</v>
      </c>
      <c r="B542">
        <v>15</v>
      </c>
      <c r="C542" t="s">
        <v>54</v>
      </c>
      <c r="D542" s="3">
        <v>46182.433888888889</v>
      </c>
      <c r="E542" s="8">
        <v>46182</v>
      </c>
      <c r="F542" t="s">
        <v>1916</v>
      </c>
      <c r="G542" t="s">
        <v>56</v>
      </c>
      <c r="H542" t="s">
        <v>1917</v>
      </c>
      <c r="I542" t="s">
        <v>1918</v>
      </c>
      <c r="J542" t="s">
        <v>59</v>
      </c>
      <c r="L542" t="s">
        <v>61</v>
      </c>
      <c r="M542" t="s">
        <v>62</v>
      </c>
      <c r="N542" t="s">
        <v>62</v>
      </c>
      <c r="O542" t="s">
        <v>1925</v>
      </c>
      <c r="P542" t="s">
        <v>1926</v>
      </c>
      <c r="Q542" s="5">
        <v>2</v>
      </c>
      <c r="R542" s="6">
        <v>1711</v>
      </c>
      <c r="S542" s="6">
        <v>3422</v>
      </c>
      <c r="T542" s="6">
        <v>2213.62</v>
      </c>
      <c r="U542" s="3">
        <v>46238.458333333343</v>
      </c>
      <c r="W542" t="s">
        <v>1919</v>
      </c>
      <c r="X542" t="s">
        <v>70</v>
      </c>
      <c r="Y542" t="s">
        <v>68</v>
      </c>
      <c r="Z542" t="s">
        <v>1920</v>
      </c>
      <c r="AA542" t="s">
        <v>1921</v>
      </c>
      <c r="AB542" t="s">
        <v>67</v>
      </c>
      <c r="AC542" t="s">
        <v>70</v>
      </c>
      <c r="AD542" t="s">
        <v>71</v>
      </c>
      <c r="AE542" t="s">
        <v>1927</v>
      </c>
      <c r="AF542" t="s">
        <v>67</v>
      </c>
      <c r="AG542" t="s">
        <v>1928</v>
      </c>
      <c r="AH542" t="b">
        <v>0</v>
      </c>
      <c r="AI542" t="b">
        <v>0</v>
      </c>
      <c r="AJ542" t="b">
        <v>0</v>
      </c>
      <c r="AK542" t="b">
        <v>0</v>
      </c>
      <c r="AL542" s="6">
        <v>1106.81</v>
      </c>
      <c r="AM542" s="3">
        <v>46225.333333333343</v>
      </c>
      <c r="AN542">
        <v>0</v>
      </c>
      <c r="AO542" s="3"/>
      <c r="AT542" t="b">
        <v>0</v>
      </c>
      <c r="AU542" t="s">
        <v>74</v>
      </c>
      <c r="AV542" t="b">
        <v>1</v>
      </c>
      <c r="AW542" t="b">
        <v>0</v>
      </c>
      <c r="AX542" s="5">
        <v>4</v>
      </c>
      <c r="AY542" s="3"/>
      <c r="AZ542" t="s">
        <v>67</v>
      </c>
      <c r="BA542" t="s">
        <v>67</v>
      </c>
      <c r="BB542" t="s">
        <v>317</v>
      </c>
    </row>
    <row r="543" spans="1:54" x14ac:dyDescent="0.3">
      <c r="A543">
        <v>1</v>
      </c>
      <c r="B543">
        <v>15</v>
      </c>
      <c r="C543" t="s">
        <v>54</v>
      </c>
      <c r="D543" s="3">
        <v>46182.433888888889</v>
      </c>
      <c r="E543" s="8">
        <v>46182</v>
      </c>
      <c r="F543" t="s">
        <v>1916</v>
      </c>
      <c r="G543" t="s">
        <v>56</v>
      </c>
      <c r="H543" t="s">
        <v>1917</v>
      </c>
      <c r="I543" t="s">
        <v>1918</v>
      </c>
      <c r="J543" t="s">
        <v>59</v>
      </c>
      <c r="L543" t="s">
        <v>61</v>
      </c>
      <c r="M543" t="s">
        <v>62</v>
      </c>
      <c r="N543" t="s">
        <v>62</v>
      </c>
      <c r="O543" t="s">
        <v>1925</v>
      </c>
      <c r="P543" t="s">
        <v>1926</v>
      </c>
      <c r="Q543" s="5">
        <v>2</v>
      </c>
      <c r="R543" s="6">
        <v>1711</v>
      </c>
      <c r="S543" s="6">
        <v>3422</v>
      </c>
      <c r="T543" s="6">
        <v>2213.62</v>
      </c>
      <c r="U543" s="3">
        <v>46238.458333333343</v>
      </c>
      <c r="W543" t="s">
        <v>1919</v>
      </c>
      <c r="X543" t="s">
        <v>70</v>
      </c>
      <c r="Y543" t="s">
        <v>68</v>
      </c>
      <c r="Z543" t="s">
        <v>1920</v>
      </c>
      <c r="AA543" t="s">
        <v>1921</v>
      </c>
      <c r="AB543" t="s">
        <v>67</v>
      </c>
      <c r="AC543" t="s">
        <v>70</v>
      </c>
      <c r="AD543" t="s">
        <v>71</v>
      </c>
      <c r="AE543" t="s">
        <v>1927</v>
      </c>
      <c r="AF543" t="s">
        <v>67</v>
      </c>
      <c r="AG543" t="s">
        <v>1928</v>
      </c>
      <c r="AH543" t="b">
        <v>0</v>
      </c>
      <c r="AI543" t="b">
        <v>0</v>
      </c>
      <c r="AJ543" t="b">
        <v>0</v>
      </c>
      <c r="AK543" t="b">
        <v>0</v>
      </c>
      <c r="AL543" s="6">
        <v>1106.81</v>
      </c>
      <c r="AM543" s="3">
        <v>46225.333333333343</v>
      </c>
      <c r="AN543">
        <v>1</v>
      </c>
      <c r="AO543" s="3"/>
      <c r="AT543" t="b">
        <v>0</v>
      </c>
      <c r="AU543" t="s">
        <v>74</v>
      </c>
      <c r="AV543" t="b">
        <v>1</v>
      </c>
      <c r="AW543" t="b">
        <v>0</v>
      </c>
      <c r="AX543" s="5">
        <v>4</v>
      </c>
      <c r="AY543" s="3"/>
      <c r="AZ543" t="s">
        <v>67</v>
      </c>
      <c r="BA543" t="s">
        <v>67</v>
      </c>
      <c r="BB543" t="s">
        <v>317</v>
      </c>
    </row>
    <row r="544" spans="1:54" x14ac:dyDescent="0.3">
      <c r="A544">
        <v>1</v>
      </c>
      <c r="B544">
        <v>15</v>
      </c>
      <c r="C544" t="s">
        <v>54</v>
      </c>
      <c r="D544" s="3">
        <v>46182.433888888889</v>
      </c>
      <c r="E544" s="8">
        <v>46182</v>
      </c>
      <c r="F544" t="s">
        <v>1916</v>
      </c>
      <c r="G544" t="s">
        <v>56</v>
      </c>
      <c r="H544" t="s">
        <v>1917</v>
      </c>
      <c r="I544" t="s">
        <v>1918</v>
      </c>
      <c r="J544" t="s">
        <v>59</v>
      </c>
      <c r="L544" t="s">
        <v>61</v>
      </c>
      <c r="M544" t="s">
        <v>62</v>
      </c>
      <c r="N544" t="s">
        <v>62</v>
      </c>
      <c r="O544" t="s">
        <v>239</v>
      </c>
      <c r="P544" t="s">
        <v>240</v>
      </c>
      <c r="Q544" s="5">
        <v>2</v>
      </c>
      <c r="R544" s="6">
        <v>660</v>
      </c>
      <c r="S544" s="6">
        <v>1320</v>
      </c>
      <c r="T544" s="6">
        <v>880</v>
      </c>
      <c r="U544" s="3">
        <v>46238.458333333343</v>
      </c>
      <c r="W544" t="s">
        <v>1919</v>
      </c>
      <c r="X544" t="s">
        <v>70</v>
      </c>
      <c r="Y544" t="s">
        <v>68</v>
      </c>
      <c r="Z544" t="s">
        <v>1920</v>
      </c>
      <c r="AA544" t="s">
        <v>1921</v>
      </c>
      <c r="AB544" t="s">
        <v>67</v>
      </c>
      <c r="AC544" t="s">
        <v>70</v>
      </c>
      <c r="AD544" t="s">
        <v>71</v>
      </c>
      <c r="AE544" t="s">
        <v>242</v>
      </c>
      <c r="AF544" t="s">
        <v>67</v>
      </c>
      <c r="AG544" t="s">
        <v>243</v>
      </c>
      <c r="AH544" t="b">
        <v>0</v>
      </c>
      <c r="AI544" t="b">
        <v>0</v>
      </c>
      <c r="AJ544" t="b">
        <v>0</v>
      </c>
      <c r="AK544" t="b">
        <v>0</v>
      </c>
      <c r="AL544" s="6">
        <v>440</v>
      </c>
      <c r="AM544" s="3">
        <v>46225.333333333343</v>
      </c>
      <c r="AN544">
        <v>0</v>
      </c>
      <c r="AO544" s="3"/>
      <c r="AT544" t="b">
        <v>0</v>
      </c>
      <c r="AU544" t="s">
        <v>74</v>
      </c>
      <c r="AV544" t="b">
        <v>1</v>
      </c>
      <c r="AW544" t="b">
        <v>0</v>
      </c>
      <c r="AX544" s="5">
        <v>0</v>
      </c>
      <c r="AY544" s="3"/>
      <c r="AZ544" t="s">
        <v>67</v>
      </c>
      <c r="BA544" t="s">
        <v>67</v>
      </c>
      <c r="BB544" t="s">
        <v>317</v>
      </c>
    </row>
    <row r="545" spans="1:54" x14ac:dyDescent="0.3">
      <c r="A545">
        <v>1</v>
      </c>
      <c r="B545">
        <v>15</v>
      </c>
      <c r="C545" t="s">
        <v>54</v>
      </c>
      <c r="D545" s="3">
        <v>46182.433888888889</v>
      </c>
      <c r="E545" s="8">
        <v>46182</v>
      </c>
      <c r="F545" t="s">
        <v>1916</v>
      </c>
      <c r="G545" t="s">
        <v>56</v>
      </c>
      <c r="H545" t="s">
        <v>1917</v>
      </c>
      <c r="I545" t="s">
        <v>1918</v>
      </c>
      <c r="J545" t="s">
        <v>59</v>
      </c>
      <c r="L545" t="s">
        <v>61</v>
      </c>
      <c r="M545" t="s">
        <v>62</v>
      </c>
      <c r="N545" t="s">
        <v>62</v>
      </c>
      <c r="O545" t="s">
        <v>239</v>
      </c>
      <c r="P545" t="s">
        <v>240</v>
      </c>
      <c r="Q545" s="5">
        <v>2</v>
      </c>
      <c r="R545" s="6">
        <v>660</v>
      </c>
      <c r="S545" s="6">
        <v>1320</v>
      </c>
      <c r="T545" s="6">
        <v>880</v>
      </c>
      <c r="U545" s="3">
        <v>46238.458333333343</v>
      </c>
      <c r="W545" t="s">
        <v>1919</v>
      </c>
      <c r="X545" t="s">
        <v>70</v>
      </c>
      <c r="Y545" t="s">
        <v>68</v>
      </c>
      <c r="Z545" t="s">
        <v>1920</v>
      </c>
      <c r="AA545" t="s">
        <v>1921</v>
      </c>
      <c r="AB545" t="s">
        <v>67</v>
      </c>
      <c r="AC545" t="s">
        <v>70</v>
      </c>
      <c r="AD545" t="s">
        <v>71</v>
      </c>
      <c r="AE545" t="s">
        <v>242</v>
      </c>
      <c r="AF545" t="s">
        <v>67</v>
      </c>
      <c r="AG545" t="s">
        <v>243</v>
      </c>
      <c r="AH545" t="b">
        <v>0</v>
      </c>
      <c r="AI545" t="b">
        <v>0</v>
      </c>
      <c r="AJ545" t="b">
        <v>0</v>
      </c>
      <c r="AK545" t="b">
        <v>0</v>
      </c>
      <c r="AL545" s="6">
        <v>440</v>
      </c>
      <c r="AM545" s="3">
        <v>46225.333333333343</v>
      </c>
      <c r="AN545">
        <v>1</v>
      </c>
      <c r="AO545" s="3"/>
      <c r="AT545" t="b">
        <v>0</v>
      </c>
      <c r="AU545" t="s">
        <v>74</v>
      </c>
      <c r="AV545" t="b">
        <v>1</v>
      </c>
      <c r="AW545" t="b">
        <v>0</v>
      </c>
      <c r="AX545" s="5">
        <v>0</v>
      </c>
      <c r="AY545" s="3"/>
      <c r="AZ545" t="s">
        <v>67</v>
      </c>
      <c r="BA545" t="s">
        <v>67</v>
      </c>
      <c r="BB545" t="s">
        <v>317</v>
      </c>
    </row>
    <row r="546" spans="1:54" x14ac:dyDescent="0.3">
      <c r="A546">
        <v>1</v>
      </c>
      <c r="B546">
        <v>15</v>
      </c>
      <c r="C546" t="s">
        <v>54</v>
      </c>
      <c r="D546" s="3">
        <v>46182.445300925923</v>
      </c>
      <c r="E546" s="8">
        <v>46255</v>
      </c>
      <c r="F546" t="s">
        <v>1929</v>
      </c>
      <c r="G546" t="s">
        <v>56</v>
      </c>
      <c r="H546" t="s">
        <v>1930</v>
      </c>
      <c r="I546" t="s">
        <v>1931</v>
      </c>
      <c r="J546" t="s">
        <v>59</v>
      </c>
      <c r="L546" t="s">
        <v>61</v>
      </c>
      <c r="M546" t="s">
        <v>97</v>
      </c>
      <c r="N546" t="s">
        <v>62</v>
      </c>
      <c r="O546" t="s">
        <v>274</v>
      </c>
      <c r="P546" t="s">
        <v>275</v>
      </c>
      <c r="Q546" s="5">
        <v>1</v>
      </c>
      <c r="R546" s="6">
        <v>80</v>
      </c>
      <c r="S546" s="6">
        <v>80</v>
      </c>
      <c r="T546" s="6">
        <v>51.54</v>
      </c>
      <c r="U546" s="3">
        <v>46255.32916666667</v>
      </c>
      <c r="W546" t="s">
        <v>1932</v>
      </c>
      <c r="X546" t="s">
        <v>70</v>
      </c>
      <c r="Y546" t="s">
        <v>68</v>
      </c>
      <c r="Z546" t="s">
        <v>69</v>
      </c>
      <c r="AA546" t="s">
        <v>69</v>
      </c>
      <c r="AB546" t="s">
        <v>67</v>
      </c>
      <c r="AC546" t="s">
        <v>70</v>
      </c>
      <c r="AD546" t="s">
        <v>71</v>
      </c>
      <c r="AE546" t="s">
        <v>84</v>
      </c>
      <c r="AF546" t="s">
        <v>67</v>
      </c>
      <c r="AG546" t="s">
        <v>274</v>
      </c>
      <c r="AH546" t="b">
        <v>0</v>
      </c>
      <c r="AI546" t="b">
        <v>0</v>
      </c>
      <c r="AJ546" t="b">
        <v>0</v>
      </c>
      <c r="AK546" t="b">
        <v>0</v>
      </c>
      <c r="AL546" s="6">
        <v>51.54</v>
      </c>
      <c r="AM546" s="3">
        <v>46245.229166666657</v>
      </c>
      <c r="AN546">
        <v>1</v>
      </c>
      <c r="AO546" s="3"/>
      <c r="AT546" t="b">
        <v>0</v>
      </c>
      <c r="AU546" t="s">
        <v>74</v>
      </c>
      <c r="AV546" t="b">
        <v>1</v>
      </c>
      <c r="AW546" t="b">
        <v>0</v>
      </c>
      <c r="AX546" s="5">
        <v>0</v>
      </c>
      <c r="AY546" s="3"/>
      <c r="AZ546" t="s">
        <v>67</v>
      </c>
      <c r="BA546" t="s">
        <v>67</v>
      </c>
      <c r="BB546" t="s">
        <v>317</v>
      </c>
    </row>
    <row r="547" spans="1:54" x14ac:dyDescent="0.3">
      <c r="A547">
        <v>1</v>
      </c>
      <c r="B547">
        <v>15</v>
      </c>
      <c r="C547" t="s">
        <v>54</v>
      </c>
      <c r="D547" s="3">
        <v>46182.445300925923</v>
      </c>
      <c r="E547" s="8">
        <v>46255</v>
      </c>
      <c r="F547" t="s">
        <v>1929</v>
      </c>
      <c r="G547" t="s">
        <v>56</v>
      </c>
      <c r="H547" t="s">
        <v>1930</v>
      </c>
      <c r="I547" t="s">
        <v>1931</v>
      </c>
      <c r="J547" t="s">
        <v>59</v>
      </c>
      <c r="L547" t="s">
        <v>61</v>
      </c>
      <c r="M547" t="s">
        <v>97</v>
      </c>
      <c r="N547" t="s">
        <v>62</v>
      </c>
      <c r="O547" t="s">
        <v>339</v>
      </c>
      <c r="P547" t="s">
        <v>340</v>
      </c>
      <c r="Q547" s="5">
        <v>8</v>
      </c>
      <c r="R547" s="6">
        <v>188</v>
      </c>
      <c r="S547" s="6">
        <v>1504</v>
      </c>
      <c r="T547" s="6">
        <v>936</v>
      </c>
      <c r="U547" s="3">
        <v>46255.32916666667</v>
      </c>
      <c r="W547" t="s">
        <v>1932</v>
      </c>
      <c r="X547" t="s">
        <v>70</v>
      </c>
      <c r="Y547" t="s">
        <v>23</v>
      </c>
      <c r="Z547" t="s">
        <v>69</v>
      </c>
      <c r="AA547" t="s">
        <v>69</v>
      </c>
      <c r="AB547" t="s">
        <v>67</v>
      </c>
      <c r="AC547" t="s">
        <v>70</v>
      </c>
      <c r="AD547" t="s">
        <v>71</v>
      </c>
      <c r="AF547" t="s">
        <v>67</v>
      </c>
      <c r="AH547" t="b">
        <v>0</v>
      </c>
      <c r="AI547" t="b">
        <v>0</v>
      </c>
      <c r="AJ547" t="b">
        <v>0</v>
      </c>
      <c r="AK547" t="b">
        <v>0</v>
      </c>
      <c r="AL547" s="6">
        <v>117</v>
      </c>
      <c r="AM547" s="3">
        <v>46245.229166666657</v>
      </c>
      <c r="AN547">
        <v>1</v>
      </c>
      <c r="AO547" s="3"/>
      <c r="AT547" t="b">
        <v>0</v>
      </c>
      <c r="AU547" t="s">
        <v>74</v>
      </c>
      <c r="AV547" t="b">
        <v>1</v>
      </c>
      <c r="AW547" t="b">
        <v>0</v>
      </c>
      <c r="AX547" s="5">
        <v>0</v>
      </c>
      <c r="AY547" s="3"/>
      <c r="AZ547" t="s">
        <v>67</v>
      </c>
      <c r="BA547" t="s">
        <v>67</v>
      </c>
      <c r="BB547" t="s">
        <v>317</v>
      </c>
    </row>
    <row r="548" spans="1:54" x14ac:dyDescent="0.3">
      <c r="A548">
        <v>1</v>
      </c>
      <c r="B548">
        <v>15</v>
      </c>
      <c r="C548" t="s">
        <v>54</v>
      </c>
      <c r="D548" s="3">
        <v>46182.445300925923</v>
      </c>
      <c r="E548" s="8">
        <v>46255</v>
      </c>
      <c r="F548" t="s">
        <v>1929</v>
      </c>
      <c r="G548" t="s">
        <v>56</v>
      </c>
      <c r="H548" t="s">
        <v>1930</v>
      </c>
      <c r="I548" t="s">
        <v>1931</v>
      </c>
      <c r="J548" t="s">
        <v>59</v>
      </c>
      <c r="L548" t="s">
        <v>61</v>
      </c>
      <c r="M548" t="s">
        <v>97</v>
      </c>
      <c r="N548" t="s">
        <v>62</v>
      </c>
      <c r="O548" t="s">
        <v>342</v>
      </c>
      <c r="P548" t="s">
        <v>343</v>
      </c>
      <c r="Q548" s="5">
        <v>8</v>
      </c>
      <c r="R548" s="6">
        <v>280</v>
      </c>
      <c r="S548" s="6">
        <v>2240</v>
      </c>
      <c r="T548" s="6">
        <v>1400</v>
      </c>
      <c r="U548" s="3">
        <v>46255.32916666667</v>
      </c>
      <c r="W548" t="s">
        <v>1932</v>
      </c>
      <c r="X548" t="s">
        <v>70</v>
      </c>
      <c r="Y548" t="s">
        <v>23</v>
      </c>
      <c r="Z548" t="s">
        <v>69</v>
      </c>
      <c r="AA548" t="s">
        <v>69</v>
      </c>
      <c r="AB548" t="s">
        <v>67</v>
      </c>
      <c r="AC548" t="s">
        <v>70</v>
      </c>
      <c r="AD548" t="s">
        <v>71</v>
      </c>
      <c r="AE548" t="s">
        <v>102</v>
      </c>
      <c r="AF548" t="s">
        <v>67</v>
      </c>
      <c r="AH548" t="b">
        <v>0</v>
      </c>
      <c r="AI548" t="b">
        <v>0</v>
      </c>
      <c r="AJ548" t="b">
        <v>0</v>
      </c>
      <c r="AK548" t="b">
        <v>0</v>
      </c>
      <c r="AL548" s="6">
        <v>175</v>
      </c>
      <c r="AM548" s="3">
        <v>46245.229166666657</v>
      </c>
      <c r="AN548">
        <v>1</v>
      </c>
      <c r="AO548" s="3"/>
      <c r="AT548" t="b">
        <v>0</v>
      </c>
      <c r="AU548" t="s">
        <v>74</v>
      </c>
      <c r="AV548" t="b">
        <v>1</v>
      </c>
      <c r="AW548" t="b">
        <v>0</v>
      </c>
      <c r="AX548" s="5">
        <v>0</v>
      </c>
      <c r="AY548" s="3"/>
      <c r="AZ548" t="s">
        <v>67</v>
      </c>
      <c r="BA548" t="s">
        <v>67</v>
      </c>
      <c r="BB548" t="s">
        <v>317</v>
      </c>
    </row>
    <row r="549" spans="1:54" x14ac:dyDescent="0.3">
      <c r="A549">
        <v>1</v>
      </c>
      <c r="B549">
        <v>15</v>
      </c>
      <c r="C549" t="s">
        <v>54</v>
      </c>
      <c r="D549" s="3">
        <v>46182.445300925923</v>
      </c>
      <c r="E549" s="8">
        <v>46255</v>
      </c>
      <c r="F549" t="s">
        <v>1929</v>
      </c>
      <c r="G549" t="s">
        <v>56</v>
      </c>
      <c r="H549" t="s">
        <v>1930</v>
      </c>
      <c r="I549" t="s">
        <v>1931</v>
      </c>
      <c r="J549" t="s">
        <v>59</v>
      </c>
      <c r="L549" t="s">
        <v>61</v>
      </c>
      <c r="M549" t="s">
        <v>97</v>
      </c>
      <c r="N549" t="s">
        <v>62</v>
      </c>
      <c r="O549" t="s">
        <v>1933</v>
      </c>
      <c r="P549" t="s">
        <v>1934</v>
      </c>
      <c r="Q549" s="5">
        <v>2</v>
      </c>
      <c r="R549" s="6">
        <v>326.95999999999998</v>
      </c>
      <c r="S549" s="6">
        <v>653.91999999999996</v>
      </c>
      <c r="T549" s="6">
        <v>194.4</v>
      </c>
      <c r="U549" s="3">
        <v>46255.32916666667</v>
      </c>
      <c r="W549" t="s">
        <v>1932</v>
      </c>
      <c r="X549" t="s">
        <v>70</v>
      </c>
      <c r="Y549" t="s">
        <v>68</v>
      </c>
      <c r="Z549" t="s">
        <v>69</v>
      </c>
      <c r="AA549" t="s">
        <v>69</v>
      </c>
      <c r="AB549" t="s">
        <v>67</v>
      </c>
      <c r="AC549" t="s">
        <v>70</v>
      </c>
      <c r="AD549" t="s">
        <v>71</v>
      </c>
      <c r="AE549" t="s">
        <v>185</v>
      </c>
      <c r="AF549" t="s">
        <v>67</v>
      </c>
      <c r="AG549" t="s">
        <v>1935</v>
      </c>
      <c r="AH549" t="b">
        <v>0</v>
      </c>
      <c r="AI549" t="b">
        <v>0</v>
      </c>
      <c r="AJ549" t="b">
        <v>0</v>
      </c>
      <c r="AK549" t="b">
        <v>0</v>
      </c>
      <c r="AL549" s="6">
        <v>97.2</v>
      </c>
      <c r="AM549" s="3">
        <v>46245.229166666657</v>
      </c>
      <c r="AN549">
        <v>1</v>
      </c>
      <c r="AO549" s="3"/>
      <c r="AT549" t="b">
        <v>0</v>
      </c>
      <c r="AU549" t="s">
        <v>74</v>
      </c>
      <c r="AV549" t="b">
        <v>1</v>
      </c>
      <c r="AW549" t="b">
        <v>0</v>
      </c>
      <c r="AX549" s="5">
        <v>0</v>
      </c>
      <c r="AY549" s="3"/>
      <c r="AZ549" t="s">
        <v>67</v>
      </c>
      <c r="BA549" t="s">
        <v>67</v>
      </c>
      <c r="BB549" t="s">
        <v>317</v>
      </c>
    </row>
    <row r="550" spans="1:54" x14ac:dyDescent="0.3">
      <c r="A550">
        <v>1</v>
      </c>
      <c r="B550">
        <v>15</v>
      </c>
      <c r="C550" t="s">
        <v>54</v>
      </c>
      <c r="D550" s="3">
        <v>46182.445300925923</v>
      </c>
      <c r="E550" s="8">
        <v>46255</v>
      </c>
      <c r="F550" t="s">
        <v>1929</v>
      </c>
      <c r="G550" t="s">
        <v>56</v>
      </c>
      <c r="H550" t="s">
        <v>1930</v>
      </c>
      <c r="I550" t="s">
        <v>1931</v>
      </c>
      <c r="J550" t="s">
        <v>59</v>
      </c>
      <c r="L550" t="s">
        <v>61</v>
      </c>
      <c r="M550" t="s">
        <v>97</v>
      </c>
      <c r="N550" t="s">
        <v>62</v>
      </c>
      <c r="O550" t="s">
        <v>1250</v>
      </c>
      <c r="P550" t="s">
        <v>1251</v>
      </c>
      <c r="Q550" s="5">
        <v>2</v>
      </c>
      <c r="R550" s="6">
        <v>64.66</v>
      </c>
      <c r="S550" s="6">
        <v>129.32</v>
      </c>
      <c r="T550" s="6">
        <v>38.4</v>
      </c>
      <c r="U550" s="3">
        <v>46255.32916666667</v>
      </c>
      <c r="W550" t="s">
        <v>1932</v>
      </c>
      <c r="X550" t="s">
        <v>70</v>
      </c>
      <c r="Y550" t="s">
        <v>68</v>
      </c>
      <c r="Z550" t="s">
        <v>69</v>
      </c>
      <c r="AA550" t="s">
        <v>69</v>
      </c>
      <c r="AB550" t="s">
        <v>67</v>
      </c>
      <c r="AC550" t="s">
        <v>70</v>
      </c>
      <c r="AD550" t="s">
        <v>71</v>
      </c>
      <c r="AE550" t="s">
        <v>185</v>
      </c>
      <c r="AF550" t="s">
        <v>67</v>
      </c>
      <c r="AG550" t="s">
        <v>1252</v>
      </c>
      <c r="AH550" t="b">
        <v>0</v>
      </c>
      <c r="AI550" t="b">
        <v>0</v>
      </c>
      <c r="AJ550" t="b">
        <v>0</v>
      </c>
      <c r="AK550" t="b">
        <v>0</v>
      </c>
      <c r="AL550" s="6">
        <v>19.2</v>
      </c>
      <c r="AM550" s="3">
        <v>46245.229166666657</v>
      </c>
      <c r="AN550">
        <v>1</v>
      </c>
      <c r="AO550" s="3"/>
      <c r="AT550" t="b">
        <v>0</v>
      </c>
      <c r="AU550" t="s">
        <v>74</v>
      </c>
      <c r="AV550" t="b">
        <v>1</v>
      </c>
      <c r="AW550" t="b">
        <v>0</v>
      </c>
      <c r="AX550" s="5">
        <v>0</v>
      </c>
      <c r="AY550" s="3"/>
      <c r="AZ550" t="s">
        <v>67</v>
      </c>
      <c r="BA550" t="s">
        <v>67</v>
      </c>
      <c r="BB550" t="s">
        <v>317</v>
      </c>
    </row>
    <row r="551" spans="1:54" x14ac:dyDescent="0.3">
      <c r="A551">
        <v>1</v>
      </c>
      <c r="B551">
        <v>15</v>
      </c>
      <c r="C551" t="s">
        <v>54</v>
      </c>
      <c r="D551" s="3">
        <v>46182.445300925923</v>
      </c>
      <c r="E551" s="8">
        <v>46255</v>
      </c>
      <c r="F551" t="s">
        <v>1929</v>
      </c>
      <c r="G551" t="s">
        <v>56</v>
      </c>
      <c r="H551" t="s">
        <v>1930</v>
      </c>
      <c r="I551" t="s">
        <v>1931</v>
      </c>
      <c r="J551" t="s">
        <v>59</v>
      </c>
      <c r="L551" t="s">
        <v>61</v>
      </c>
      <c r="M551" t="s">
        <v>97</v>
      </c>
      <c r="N551" t="s">
        <v>62</v>
      </c>
      <c r="O551" t="s">
        <v>1936</v>
      </c>
      <c r="P551" t="s">
        <v>1937</v>
      </c>
      <c r="Q551" s="5">
        <v>4</v>
      </c>
      <c r="R551" s="6">
        <v>64.66</v>
      </c>
      <c r="S551" s="6">
        <v>258.64</v>
      </c>
      <c r="T551" s="6">
        <v>76.8</v>
      </c>
      <c r="U551" s="3">
        <v>46255.32916666667</v>
      </c>
      <c r="W551" t="s">
        <v>1932</v>
      </c>
      <c r="X551" t="s">
        <v>70</v>
      </c>
      <c r="Y551" t="s">
        <v>68</v>
      </c>
      <c r="Z551" t="s">
        <v>69</v>
      </c>
      <c r="AA551" t="s">
        <v>69</v>
      </c>
      <c r="AB551" t="s">
        <v>67</v>
      </c>
      <c r="AC551" t="s">
        <v>70</v>
      </c>
      <c r="AD551" t="s">
        <v>71</v>
      </c>
      <c r="AE551" t="s">
        <v>185</v>
      </c>
      <c r="AF551" t="s">
        <v>67</v>
      </c>
      <c r="AG551" t="s">
        <v>1938</v>
      </c>
      <c r="AH551" t="b">
        <v>0</v>
      </c>
      <c r="AI551" t="b">
        <v>0</v>
      </c>
      <c r="AJ551" t="b">
        <v>0</v>
      </c>
      <c r="AK551" t="b">
        <v>0</v>
      </c>
      <c r="AL551" s="6">
        <v>19.2</v>
      </c>
      <c r="AM551" s="3">
        <v>46245.229166666657</v>
      </c>
      <c r="AN551">
        <v>1</v>
      </c>
      <c r="AO551" s="3"/>
      <c r="AT551" t="b">
        <v>0</v>
      </c>
      <c r="AU551" t="s">
        <v>74</v>
      </c>
      <c r="AV551" t="b">
        <v>1</v>
      </c>
      <c r="AW551" t="b">
        <v>0</v>
      </c>
      <c r="AX551" s="5">
        <v>0</v>
      </c>
      <c r="AY551" s="3"/>
      <c r="AZ551" t="s">
        <v>67</v>
      </c>
      <c r="BA551" t="s">
        <v>67</v>
      </c>
      <c r="BB551" t="s">
        <v>317</v>
      </c>
    </row>
    <row r="552" spans="1:54" x14ac:dyDescent="0.3">
      <c r="A552">
        <v>1</v>
      </c>
      <c r="B552">
        <v>15</v>
      </c>
      <c r="C552" t="s">
        <v>54</v>
      </c>
      <c r="D552" s="3">
        <v>46182.445300925923</v>
      </c>
      <c r="E552" s="8">
        <v>46255</v>
      </c>
      <c r="F552" t="s">
        <v>1929</v>
      </c>
      <c r="G552" t="s">
        <v>56</v>
      </c>
      <c r="H552" t="s">
        <v>1930</v>
      </c>
      <c r="I552" t="s">
        <v>1931</v>
      </c>
      <c r="J552" t="s">
        <v>59</v>
      </c>
      <c r="L552" t="s">
        <v>61</v>
      </c>
      <c r="M552" t="s">
        <v>97</v>
      </c>
      <c r="N552" t="s">
        <v>62</v>
      </c>
      <c r="O552" t="s">
        <v>1939</v>
      </c>
      <c r="P552" t="s">
        <v>1940</v>
      </c>
      <c r="Q552" s="5">
        <v>2</v>
      </c>
      <c r="R552" s="6">
        <v>208.62</v>
      </c>
      <c r="S552" s="6">
        <v>417.24</v>
      </c>
      <c r="T552" s="6">
        <v>124</v>
      </c>
      <c r="U552" s="3">
        <v>46255.32916666667</v>
      </c>
      <c r="W552" t="s">
        <v>1932</v>
      </c>
      <c r="X552" t="s">
        <v>70</v>
      </c>
      <c r="Y552" t="s">
        <v>68</v>
      </c>
      <c r="Z552" t="s">
        <v>69</v>
      </c>
      <c r="AA552" t="s">
        <v>69</v>
      </c>
      <c r="AB552" t="s">
        <v>67</v>
      </c>
      <c r="AC552" t="s">
        <v>70</v>
      </c>
      <c r="AD552" t="s">
        <v>71</v>
      </c>
      <c r="AE552" t="s">
        <v>185</v>
      </c>
      <c r="AF552" t="s">
        <v>67</v>
      </c>
      <c r="AG552" t="s">
        <v>1941</v>
      </c>
      <c r="AH552" t="b">
        <v>0</v>
      </c>
      <c r="AI552" t="b">
        <v>0</v>
      </c>
      <c r="AJ552" t="b">
        <v>0</v>
      </c>
      <c r="AK552" t="b">
        <v>0</v>
      </c>
      <c r="AL552" s="6">
        <v>62</v>
      </c>
      <c r="AM552" s="3">
        <v>46245.229166666657</v>
      </c>
      <c r="AN552">
        <v>1</v>
      </c>
      <c r="AO552" s="3"/>
      <c r="AT552" t="b">
        <v>0</v>
      </c>
      <c r="AU552" t="s">
        <v>74</v>
      </c>
      <c r="AV552" t="b">
        <v>1</v>
      </c>
      <c r="AW552" t="b">
        <v>0</v>
      </c>
      <c r="AX552" s="5">
        <v>0</v>
      </c>
      <c r="AY552" s="3"/>
      <c r="AZ552" t="s">
        <v>67</v>
      </c>
      <c r="BA552" t="s">
        <v>67</v>
      </c>
      <c r="BB552" t="s">
        <v>317</v>
      </c>
    </row>
    <row r="553" spans="1:54" x14ac:dyDescent="0.3">
      <c r="A553">
        <v>1</v>
      </c>
      <c r="B553">
        <v>15</v>
      </c>
      <c r="C553" t="s">
        <v>54</v>
      </c>
      <c r="D553" s="3">
        <v>46182.445300925923</v>
      </c>
      <c r="E553" s="8">
        <v>46255</v>
      </c>
      <c r="F553" t="s">
        <v>1929</v>
      </c>
      <c r="G553" t="s">
        <v>56</v>
      </c>
      <c r="H553" t="s">
        <v>1930</v>
      </c>
      <c r="I553" t="s">
        <v>1931</v>
      </c>
      <c r="J553" t="s">
        <v>59</v>
      </c>
      <c r="L553" t="s">
        <v>61</v>
      </c>
      <c r="M553" t="s">
        <v>97</v>
      </c>
      <c r="N553" t="s">
        <v>62</v>
      </c>
      <c r="O553" t="s">
        <v>1942</v>
      </c>
      <c r="P553" t="s">
        <v>1943</v>
      </c>
      <c r="Q553" s="5">
        <v>4</v>
      </c>
      <c r="R553" s="6">
        <v>208.62</v>
      </c>
      <c r="S553" s="6">
        <v>834.48</v>
      </c>
      <c r="T553" s="6">
        <v>248</v>
      </c>
      <c r="U553" s="3">
        <v>46255.32916666667</v>
      </c>
      <c r="W553" t="s">
        <v>1932</v>
      </c>
      <c r="X553" t="s">
        <v>70</v>
      </c>
      <c r="Y553" t="s">
        <v>68</v>
      </c>
      <c r="Z553" t="s">
        <v>69</v>
      </c>
      <c r="AA553" t="s">
        <v>69</v>
      </c>
      <c r="AB553" t="s">
        <v>67</v>
      </c>
      <c r="AC553" t="s">
        <v>70</v>
      </c>
      <c r="AD553" t="s">
        <v>71</v>
      </c>
      <c r="AE553" t="s">
        <v>185</v>
      </c>
      <c r="AF553" t="s">
        <v>67</v>
      </c>
      <c r="AG553" t="s">
        <v>1944</v>
      </c>
      <c r="AH553" t="b">
        <v>0</v>
      </c>
      <c r="AI553" t="b">
        <v>0</v>
      </c>
      <c r="AJ553" t="b">
        <v>0</v>
      </c>
      <c r="AK553" t="b">
        <v>0</v>
      </c>
      <c r="AL553" s="6">
        <v>62</v>
      </c>
      <c r="AM553" s="3">
        <v>46245.229166666657</v>
      </c>
      <c r="AN553">
        <v>1</v>
      </c>
      <c r="AO553" s="3"/>
      <c r="AT553" t="b">
        <v>0</v>
      </c>
      <c r="AU553" t="s">
        <v>74</v>
      </c>
      <c r="AV553" t="b">
        <v>1</v>
      </c>
      <c r="AW553" t="b">
        <v>0</v>
      </c>
      <c r="AX553" s="5">
        <v>0</v>
      </c>
      <c r="AY553" s="3"/>
      <c r="AZ553" t="s">
        <v>67</v>
      </c>
      <c r="BA553" t="s">
        <v>67</v>
      </c>
      <c r="BB553" t="s">
        <v>317</v>
      </c>
    </row>
    <row r="554" spans="1:54" x14ac:dyDescent="0.3">
      <c r="A554">
        <v>1</v>
      </c>
      <c r="B554">
        <v>15</v>
      </c>
      <c r="C554" t="s">
        <v>54</v>
      </c>
      <c r="D554" s="3">
        <v>46182.445300925923</v>
      </c>
      <c r="E554" s="8">
        <v>46255</v>
      </c>
      <c r="F554" t="s">
        <v>1929</v>
      </c>
      <c r="G554" t="s">
        <v>56</v>
      </c>
      <c r="H554" t="s">
        <v>1930</v>
      </c>
      <c r="I554" t="s">
        <v>1931</v>
      </c>
      <c r="J554" t="s">
        <v>59</v>
      </c>
      <c r="L554" t="s">
        <v>61</v>
      </c>
      <c r="M554" t="s">
        <v>97</v>
      </c>
      <c r="N554" t="s">
        <v>62</v>
      </c>
      <c r="O554" t="s">
        <v>1945</v>
      </c>
      <c r="P554" t="s">
        <v>1946</v>
      </c>
      <c r="Q554" s="5">
        <v>4</v>
      </c>
      <c r="R554" s="6">
        <v>319.64</v>
      </c>
      <c r="S554" s="6">
        <v>1278.56</v>
      </c>
      <c r="T554" s="6">
        <v>380.8</v>
      </c>
      <c r="U554" s="3">
        <v>46255.32916666667</v>
      </c>
      <c r="W554" t="s">
        <v>1932</v>
      </c>
      <c r="X554" t="s">
        <v>70</v>
      </c>
      <c r="Y554" t="s">
        <v>68</v>
      </c>
      <c r="Z554" t="s">
        <v>69</v>
      </c>
      <c r="AA554" t="s">
        <v>69</v>
      </c>
      <c r="AB554" t="s">
        <v>67</v>
      </c>
      <c r="AC554" t="s">
        <v>70</v>
      </c>
      <c r="AD554" t="s">
        <v>71</v>
      </c>
      <c r="AE554" t="s">
        <v>185</v>
      </c>
      <c r="AF554" t="s">
        <v>67</v>
      </c>
      <c r="AG554" t="s">
        <v>1947</v>
      </c>
      <c r="AH554" t="b">
        <v>0</v>
      </c>
      <c r="AI554" t="b">
        <v>0</v>
      </c>
      <c r="AJ554" t="b">
        <v>0</v>
      </c>
      <c r="AK554" t="b">
        <v>0</v>
      </c>
      <c r="AL554" s="6">
        <v>95.2</v>
      </c>
      <c r="AM554" s="3">
        <v>46245.229166666657</v>
      </c>
      <c r="AN554">
        <v>1</v>
      </c>
      <c r="AO554" s="3"/>
      <c r="AT554" t="b">
        <v>0</v>
      </c>
      <c r="AU554" t="s">
        <v>74</v>
      </c>
      <c r="AV554" t="b">
        <v>1</v>
      </c>
      <c r="AW554" t="b">
        <v>0</v>
      </c>
      <c r="AX554" s="5">
        <v>0</v>
      </c>
      <c r="AY554" s="3"/>
      <c r="AZ554" t="s">
        <v>67</v>
      </c>
      <c r="BA554" t="s">
        <v>67</v>
      </c>
      <c r="BB554" t="s">
        <v>317</v>
      </c>
    </row>
    <row r="555" spans="1:54" x14ac:dyDescent="0.3">
      <c r="A555">
        <v>1</v>
      </c>
      <c r="B555">
        <v>15</v>
      </c>
      <c r="C555" t="s">
        <v>54</v>
      </c>
      <c r="D555" s="3">
        <v>46182.445300925923</v>
      </c>
      <c r="E555" s="8">
        <v>46255</v>
      </c>
      <c r="F555" t="s">
        <v>1929</v>
      </c>
      <c r="G555" t="s">
        <v>56</v>
      </c>
      <c r="H555" t="s">
        <v>1930</v>
      </c>
      <c r="I555" t="s">
        <v>1931</v>
      </c>
      <c r="J555" t="s">
        <v>59</v>
      </c>
      <c r="L555" t="s">
        <v>61</v>
      </c>
      <c r="M555" t="s">
        <v>97</v>
      </c>
      <c r="N555" t="s">
        <v>62</v>
      </c>
      <c r="O555" t="s">
        <v>1256</v>
      </c>
      <c r="P555" t="s">
        <v>1257</v>
      </c>
      <c r="Q555" s="5">
        <v>2</v>
      </c>
      <c r="R555" s="6">
        <v>96.38</v>
      </c>
      <c r="S555" s="6">
        <v>192.76</v>
      </c>
      <c r="T555" s="6">
        <v>56.8</v>
      </c>
      <c r="U555" s="3">
        <v>46255.32916666667</v>
      </c>
      <c r="W555" t="s">
        <v>1932</v>
      </c>
      <c r="X555" t="s">
        <v>70</v>
      </c>
      <c r="Y555" t="s">
        <v>68</v>
      </c>
      <c r="Z555" t="s">
        <v>69</v>
      </c>
      <c r="AA555" t="s">
        <v>69</v>
      </c>
      <c r="AB555" t="s">
        <v>67</v>
      </c>
      <c r="AC555" t="s">
        <v>70</v>
      </c>
      <c r="AD555" t="s">
        <v>71</v>
      </c>
      <c r="AE555" t="s">
        <v>185</v>
      </c>
      <c r="AF555" t="s">
        <v>67</v>
      </c>
      <c r="AG555" t="s">
        <v>1258</v>
      </c>
      <c r="AH555" t="b">
        <v>0</v>
      </c>
      <c r="AI555" t="b">
        <v>0</v>
      </c>
      <c r="AJ555" t="b">
        <v>0</v>
      </c>
      <c r="AK555" t="b">
        <v>0</v>
      </c>
      <c r="AL555" s="6">
        <v>28.4</v>
      </c>
      <c r="AM555" s="3">
        <v>46245.229166666657</v>
      </c>
      <c r="AN555">
        <v>1</v>
      </c>
      <c r="AO555" s="3"/>
      <c r="AT555" t="b">
        <v>0</v>
      </c>
      <c r="AU555" t="s">
        <v>74</v>
      </c>
      <c r="AV555" t="b">
        <v>1</v>
      </c>
      <c r="AW555" t="b">
        <v>0</v>
      </c>
      <c r="AX555" s="5">
        <v>0</v>
      </c>
      <c r="AY555" s="3"/>
      <c r="AZ555" t="s">
        <v>67</v>
      </c>
      <c r="BA555" t="s">
        <v>67</v>
      </c>
      <c r="BB555" t="s">
        <v>317</v>
      </c>
    </row>
    <row r="556" spans="1:54" x14ac:dyDescent="0.3">
      <c r="A556">
        <v>1</v>
      </c>
      <c r="B556">
        <v>15</v>
      </c>
      <c r="C556" t="s">
        <v>54</v>
      </c>
      <c r="D556" s="3">
        <v>46182.445300925923</v>
      </c>
      <c r="E556" s="8">
        <v>46255</v>
      </c>
      <c r="F556" t="s">
        <v>1929</v>
      </c>
      <c r="G556" t="s">
        <v>56</v>
      </c>
      <c r="H556" t="s">
        <v>1930</v>
      </c>
      <c r="I556" t="s">
        <v>1931</v>
      </c>
      <c r="J556" t="s">
        <v>59</v>
      </c>
      <c r="L556" t="s">
        <v>61</v>
      </c>
      <c r="M556" t="s">
        <v>97</v>
      </c>
      <c r="N556" t="s">
        <v>62</v>
      </c>
      <c r="O556" t="s">
        <v>1948</v>
      </c>
      <c r="P556" t="s">
        <v>1949</v>
      </c>
      <c r="Q556" s="5">
        <v>4</v>
      </c>
      <c r="R556" s="6">
        <v>131.76</v>
      </c>
      <c r="S556" s="6">
        <v>527.04</v>
      </c>
      <c r="T556" s="6">
        <v>156.80000000000001</v>
      </c>
      <c r="U556" s="3">
        <v>46255.32916666667</v>
      </c>
      <c r="W556" t="s">
        <v>1932</v>
      </c>
      <c r="X556" t="s">
        <v>70</v>
      </c>
      <c r="Y556" t="s">
        <v>68</v>
      </c>
      <c r="Z556" t="s">
        <v>69</v>
      </c>
      <c r="AA556" t="s">
        <v>69</v>
      </c>
      <c r="AB556" t="s">
        <v>67</v>
      </c>
      <c r="AC556" t="s">
        <v>70</v>
      </c>
      <c r="AD556" t="s">
        <v>71</v>
      </c>
      <c r="AE556" t="s">
        <v>185</v>
      </c>
      <c r="AF556" t="s">
        <v>67</v>
      </c>
      <c r="AG556" t="s">
        <v>1950</v>
      </c>
      <c r="AH556" t="b">
        <v>0</v>
      </c>
      <c r="AI556" t="b">
        <v>0</v>
      </c>
      <c r="AJ556" t="b">
        <v>0</v>
      </c>
      <c r="AK556" t="b">
        <v>0</v>
      </c>
      <c r="AL556" s="6">
        <v>39.200000000000003</v>
      </c>
      <c r="AM556" s="3">
        <v>46245.229166666657</v>
      </c>
      <c r="AN556">
        <v>1</v>
      </c>
      <c r="AO556" s="3"/>
      <c r="AT556" t="b">
        <v>0</v>
      </c>
      <c r="AU556" t="s">
        <v>74</v>
      </c>
      <c r="AV556" t="b">
        <v>1</v>
      </c>
      <c r="AW556" t="b">
        <v>0</v>
      </c>
      <c r="AX556" s="5">
        <v>0</v>
      </c>
      <c r="AY556" s="3"/>
      <c r="AZ556" t="s">
        <v>67</v>
      </c>
      <c r="BA556" t="s">
        <v>67</v>
      </c>
      <c r="BB556" t="s">
        <v>317</v>
      </c>
    </row>
    <row r="557" spans="1:54" x14ac:dyDescent="0.3">
      <c r="A557">
        <v>1</v>
      </c>
      <c r="B557">
        <v>15</v>
      </c>
      <c r="C557" t="s">
        <v>54</v>
      </c>
      <c r="D557" s="3">
        <v>46182.445300925923</v>
      </c>
      <c r="E557" s="8">
        <v>46255</v>
      </c>
      <c r="F557" t="s">
        <v>1929</v>
      </c>
      <c r="G557" t="s">
        <v>56</v>
      </c>
      <c r="H557" t="s">
        <v>1930</v>
      </c>
      <c r="I557" t="s">
        <v>1931</v>
      </c>
      <c r="J557" t="s">
        <v>59</v>
      </c>
      <c r="L557" t="s">
        <v>61</v>
      </c>
      <c r="M557" t="s">
        <v>97</v>
      </c>
      <c r="N557" t="s">
        <v>62</v>
      </c>
      <c r="O557" t="s">
        <v>1259</v>
      </c>
      <c r="P557" t="s">
        <v>1260</v>
      </c>
      <c r="Q557" s="5">
        <v>2</v>
      </c>
      <c r="R557" s="6">
        <v>84.18</v>
      </c>
      <c r="S557" s="6">
        <v>168.36</v>
      </c>
      <c r="T557" s="6">
        <v>49.6</v>
      </c>
      <c r="U557" s="3">
        <v>46255.32916666667</v>
      </c>
      <c r="W557" t="s">
        <v>1932</v>
      </c>
      <c r="X557" t="s">
        <v>70</v>
      </c>
      <c r="Y557" t="s">
        <v>68</v>
      </c>
      <c r="Z557" t="s">
        <v>69</v>
      </c>
      <c r="AA557" t="s">
        <v>69</v>
      </c>
      <c r="AB557" t="s">
        <v>67</v>
      </c>
      <c r="AC557" t="s">
        <v>70</v>
      </c>
      <c r="AD557" t="s">
        <v>71</v>
      </c>
      <c r="AE557" t="s">
        <v>185</v>
      </c>
      <c r="AF557" t="s">
        <v>67</v>
      </c>
      <c r="AG557" t="s">
        <v>1261</v>
      </c>
      <c r="AH557" t="b">
        <v>0</v>
      </c>
      <c r="AI557" t="b">
        <v>0</v>
      </c>
      <c r="AJ557" t="b">
        <v>0</v>
      </c>
      <c r="AK557" t="b">
        <v>0</v>
      </c>
      <c r="AL557" s="6">
        <v>24.8</v>
      </c>
      <c r="AM557" s="3">
        <v>46245.229166666657</v>
      </c>
      <c r="AN557">
        <v>1</v>
      </c>
      <c r="AO557" s="3"/>
      <c r="AT557" t="b">
        <v>0</v>
      </c>
      <c r="AU557" t="s">
        <v>74</v>
      </c>
      <c r="AV557" t="b">
        <v>1</v>
      </c>
      <c r="AW557" t="b">
        <v>0</v>
      </c>
      <c r="AX557" s="5">
        <v>0</v>
      </c>
      <c r="AY557" s="3"/>
      <c r="AZ557" t="s">
        <v>67</v>
      </c>
      <c r="BA557" t="s">
        <v>67</v>
      </c>
      <c r="BB557" t="s">
        <v>317</v>
      </c>
    </row>
    <row r="558" spans="1:54" x14ac:dyDescent="0.3">
      <c r="A558">
        <v>1</v>
      </c>
      <c r="B558">
        <v>15</v>
      </c>
      <c r="C558" t="s">
        <v>54</v>
      </c>
      <c r="D558" s="3">
        <v>46182.445300925923</v>
      </c>
      <c r="E558" s="8">
        <v>46255</v>
      </c>
      <c r="F558" t="s">
        <v>1929</v>
      </c>
      <c r="G558" t="s">
        <v>56</v>
      </c>
      <c r="H558" t="s">
        <v>1930</v>
      </c>
      <c r="I558" t="s">
        <v>1931</v>
      </c>
      <c r="J558" t="s">
        <v>59</v>
      </c>
      <c r="L558" t="s">
        <v>61</v>
      </c>
      <c r="M558" t="s">
        <v>97</v>
      </c>
      <c r="N558" t="s">
        <v>62</v>
      </c>
      <c r="O558" t="s">
        <v>1951</v>
      </c>
      <c r="P558" t="s">
        <v>1952</v>
      </c>
      <c r="Q558" s="5">
        <v>4</v>
      </c>
      <c r="R558" s="6">
        <v>84.18</v>
      </c>
      <c r="S558" s="6">
        <v>336.72</v>
      </c>
      <c r="T558" s="6">
        <v>99.2</v>
      </c>
      <c r="U558" s="3">
        <v>46255.32916666667</v>
      </c>
      <c r="W558" t="s">
        <v>1932</v>
      </c>
      <c r="X558" t="s">
        <v>70</v>
      </c>
      <c r="Y558" t="s">
        <v>68</v>
      </c>
      <c r="Z558" t="s">
        <v>69</v>
      </c>
      <c r="AA558" t="s">
        <v>69</v>
      </c>
      <c r="AB558" t="s">
        <v>67</v>
      </c>
      <c r="AC558" t="s">
        <v>70</v>
      </c>
      <c r="AD558" t="s">
        <v>71</v>
      </c>
      <c r="AE558" t="s">
        <v>185</v>
      </c>
      <c r="AF558" t="s">
        <v>67</v>
      </c>
      <c r="AG558" t="s">
        <v>1953</v>
      </c>
      <c r="AH558" t="b">
        <v>0</v>
      </c>
      <c r="AI558" t="b">
        <v>0</v>
      </c>
      <c r="AJ558" t="b">
        <v>0</v>
      </c>
      <c r="AK558" t="b">
        <v>0</v>
      </c>
      <c r="AL558" s="6">
        <v>24.8</v>
      </c>
      <c r="AM558" s="3">
        <v>46245.229166666657</v>
      </c>
      <c r="AN558">
        <v>1</v>
      </c>
      <c r="AO558" s="3"/>
      <c r="AT558" t="b">
        <v>0</v>
      </c>
      <c r="AU558" t="s">
        <v>74</v>
      </c>
      <c r="AV558" t="b">
        <v>1</v>
      </c>
      <c r="AW558" t="b">
        <v>0</v>
      </c>
      <c r="AX558" s="5">
        <v>0</v>
      </c>
      <c r="AY558" s="3"/>
      <c r="AZ558" t="s">
        <v>67</v>
      </c>
      <c r="BA558" t="s">
        <v>67</v>
      </c>
      <c r="BB558" t="s">
        <v>317</v>
      </c>
    </row>
    <row r="559" spans="1:54" x14ac:dyDescent="0.3">
      <c r="A559">
        <v>1</v>
      </c>
      <c r="B559">
        <v>15</v>
      </c>
      <c r="C559" t="s">
        <v>54</v>
      </c>
      <c r="D559" s="3">
        <v>46182.511689814812</v>
      </c>
      <c r="E559" s="8">
        <v>46211</v>
      </c>
      <c r="F559" t="s">
        <v>1954</v>
      </c>
      <c r="G559" t="s">
        <v>56</v>
      </c>
      <c r="H559" t="s">
        <v>298</v>
      </c>
      <c r="I559" t="s">
        <v>1955</v>
      </c>
      <c r="J559" t="s">
        <v>59</v>
      </c>
      <c r="K559" t="s">
        <v>60</v>
      </c>
      <c r="L559" t="s">
        <v>61</v>
      </c>
      <c r="M559" t="s">
        <v>62</v>
      </c>
      <c r="N559" t="s">
        <v>62</v>
      </c>
      <c r="O559" t="s">
        <v>82</v>
      </c>
      <c r="P559" t="s">
        <v>83</v>
      </c>
      <c r="Q559" s="5">
        <v>2</v>
      </c>
      <c r="R559" s="6">
        <v>140</v>
      </c>
      <c r="S559" s="6">
        <v>280</v>
      </c>
      <c r="T559" s="6">
        <v>186.2</v>
      </c>
      <c r="U559" s="3">
        <v>46300.25</v>
      </c>
      <c r="W559" t="s">
        <v>1956</v>
      </c>
      <c r="X559" t="s">
        <v>70</v>
      </c>
      <c r="Y559" t="s">
        <v>68</v>
      </c>
      <c r="Z559" t="s">
        <v>521</v>
      </c>
      <c r="AA559" t="s">
        <v>522</v>
      </c>
      <c r="AB559" t="s">
        <v>67</v>
      </c>
      <c r="AC559" t="s">
        <v>70</v>
      </c>
      <c r="AD559" t="s">
        <v>71</v>
      </c>
      <c r="AE559" t="s">
        <v>84</v>
      </c>
      <c r="AF559" t="s">
        <v>67</v>
      </c>
      <c r="AG559" t="s">
        <v>82</v>
      </c>
      <c r="AH559" t="b">
        <v>0</v>
      </c>
      <c r="AI559" t="b">
        <v>0</v>
      </c>
      <c r="AJ559" t="b">
        <v>0</v>
      </c>
      <c r="AK559" t="b">
        <v>0</v>
      </c>
      <c r="AL559" s="6">
        <v>93.1</v>
      </c>
      <c r="AM559" s="3">
        <v>46300.25</v>
      </c>
      <c r="AN559">
        <v>1</v>
      </c>
      <c r="AO559" s="3">
        <v>46244.633564814823</v>
      </c>
      <c r="AP559" t="s">
        <v>1957</v>
      </c>
      <c r="AQ559" t="s">
        <v>1958</v>
      </c>
      <c r="AR559" t="s">
        <v>113</v>
      </c>
      <c r="AS559">
        <v>2</v>
      </c>
      <c r="AT559" t="b">
        <v>1</v>
      </c>
      <c r="AU559" t="s">
        <v>285</v>
      </c>
      <c r="AV559" t="b">
        <v>1</v>
      </c>
      <c r="AW559" t="b">
        <v>0</v>
      </c>
      <c r="AX559" s="5">
        <v>0</v>
      </c>
      <c r="AY559" s="3"/>
      <c r="AZ559" t="s">
        <v>67</v>
      </c>
      <c r="BA559" t="s">
        <v>67</v>
      </c>
      <c r="BB559" t="s">
        <v>997</v>
      </c>
    </row>
    <row r="560" spans="1:54" x14ac:dyDescent="0.3">
      <c r="A560">
        <v>1</v>
      </c>
      <c r="B560">
        <v>15</v>
      </c>
      <c r="C560" t="s">
        <v>54</v>
      </c>
      <c r="D560" s="3">
        <v>46182.511689814812</v>
      </c>
      <c r="E560" s="8">
        <v>46211</v>
      </c>
      <c r="F560" t="s">
        <v>1954</v>
      </c>
      <c r="G560" t="s">
        <v>56</v>
      </c>
      <c r="H560" t="s">
        <v>298</v>
      </c>
      <c r="I560" t="s">
        <v>1955</v>
      </c>
      <c r="J560" t="s">
        <v>59</v>
      </c>
      <c r="K560" t="s">
        <v>60</v>
      </c>
      <c r="L560" t="s">
        <v>61</v>
      </c>
      <c r="M560" t="s">
        <v>62</v>
      </c>
      <c r="N560" t="s">
        <v>62</v>
      </c>
      <c r="O560" t="s">
        <v>916</v>
      </c>
      <c r="P560" t="s">
        <v>917</v>
      </c>
      <c r="Q560" s="5">
        <v>1</v>
      </c>
      <c r="R560" s="6">
        <v>1141</v>
      </c>
      <c r="S560" s="6">
        <v>1141</v>
      </c>
      <c r="T560" s="6">
        <v>713</v>
      </c>
      <c r="U560" s="3">
        <v>46300.25</v>
      </c>
      <c r="W560" t="s">
        <v>1956</v>
      </c>
      <c r="X560" t="s">
        <v>70</v>
      </c>
      <c r="Y560" t="s">
        <v>23</v>
      </c>
      <c r="Z560" t="s">
        <v>521</v>
      </c>
      <c r="AA560" t="s">
        <v>522</v>
      </c>
      <c r="AB560" t="s">
        <v>67</v>
      </c>
      <c r="AC560" t="s">
        <v>70</v>
      </c>
      <c r="AD560" t="s">
        <v>71</v>
      </c>
      <c r="AF560" t="s">
        <v>67</v>
      </c>
      <c r="AH560" t="b">
        <v>0</v>
      </c>
      <c r="AI560" t="b">
        <v>0</v>
      </c>
      <c r="AJ560" t="b">
        <v>0</v>
      </c>
      <c r="AK560" t="b">
        <v>0</v>
      </c>
      <c r="AL560" s="6">
        <v>713</v>
      </c>
      <c r="AM560" s="3">
        <v>46300.25</v>
      </c>
      <c r="AN560">
        <v>1</v>
      </c>
      <c r="AO560" s="3">
        <v>46244.633564814823</v>
      </c>
      <c r="AP560" t="s">
        <v>1957</v>
      </c>
      <c r="AQ560" t="s">
        <v>1958</v>
      </c>
      <c r="AR560" t="s">
        <v>113</v>
      </c>
      <c r="AS560">
        <v>2</v>
      </c>
      <c r="AT560" t="b">
        <v>1</v>
      </c>
      <c r="AU560" t="s">
        <v>285</v>
      </c>
      <c r="AV560" t="b">
        <v>1</v>
      </c>
      <c r="AW560" t="b">
        <v>0</v>
      </c>
      <c r="AX560" s="5">
        <v>0</v>
      </c>
      <c r="AY560" s="3"/>
      <c r="AZ560" t="s">
        <v>67</v>
      </c>
      <c r="BA560" t="s">
        <v>67</v>
      </c>
      <c r="BB560" t="s">
        <v>997</v>
      </c>
    </row>
    <row r="561" spans="1:54" x14ac:dyDescent="0.3">
      <c r="A561">
        <v>1</v>
      </c>
      <c r="B561">
        <v>15</v>
      </c>
      <c r="C561" t="s">
        <v>54</v>
      </c>
      <c r="D561" s="3">
        <v>46182.511689814812</v>
      </c>
      <c r="E561" s="8">
        <v>46211</v>
      </c>
      <c r="F561" t="s">
        <v>1954</v>
      </c>
      <c r="G561" t="s">
        <v>56</v>
      </c>
      <c r="H561" t="s">
        <v>298</v>
      </c>
      <c r="I561" t="s">
        <v>1955</v>
      </c>
      <c r="J561" t="s">
        <v>59</v>
      </c>
      <c r="K561" t="s">
        <v>60</v>
      </c>
      <c r="L561" t="s">
        <v>61</v>
      </c>
      <c r="M561" t="s">
        <v>62</v>
      </c>
      <c r="N561" t="s">
        <v>62</v>
      </c>
      <c r="O561" t="s">
        <v>121</v>
      </c>
      <c r="P561" t="s">
        <v>122</v>
      </c>
      <c r="Q561" s="5">
        <v>4</v>
      </c>
      <c r="R561" s="6">
        <v>53</v>
      </c>
      <c r="S561" s="6">
        <v>212</v>
      </c>
      <c r="T561" s="6">
        <v>132</v>
      </c>
      <c r="U561" s="3">
        <v>46300.25</v>
      </c>
      <c r="W561" t="s">
        <v>1956</v>
      </c>
      <c r="X561" t="s">
        <v>70</v>
      </c>
      <c r="Y561" t="s">
        <v>23</v>
      </c>
      <c r="Z561" t="s">
        <v>521</v>
      </c>
      <c r="AA561" t="s">
        <v>522</v>
      </c>
      <c r="AB561" t="s">
        <v>67</v>
      </c>
      <c r="AC561" t="s">
        <v>70</v>
      </c>
      <c r="AD561" t="s">
        <v>71</v>
      </c>
      <c r="AF561" t="s">
        <v>67</v>
      </c>
      <c r="AH561" t="b">
        <v>0</v>
      </c>
      <c r="AI561" t="b">
        <v>0</v>
      </c>
      <c r="AJ561" t="b">
        <v>0</v>
      </c>
      <c r="AK561" t="b">
        <v>0</v>
      </c>
      <c r="AL561" s="6">
        <v>33</v>
      </c>
      <c r="AM561" s="3">
        <v>46300.25</v>
      </c>
      <c r="AN561">
        <v>1</v>
      </c>
      <c r="AO561" s="3">
        <v>46244.633564814823</v>
      </c>
      <c r="AP561" t="s">
        <v>1957</v>
      </c>
      <c r="AQ561" t="s">
        <v>1958</v>
      </c>
      <c r="AR561" t="s">
        <v>113</v>
      </c>
      <c r="AS561">
        <v>2</v>
      </c>
      <c r="AT561" t="b">
        <v>1</v>
      </c>
      <c r="AU561" t="s">
        <v>285</v>
      </c>
      <c r="AV561" t="b">
        <v>1</v>
      </c>
      <c r="AW561" t="b">
        <v>0</v>
      </c>
      <c r="AX561" s="5">
        <v>0</v>
      </c>
      <c r="AY561" s="3"/>
      <c r="AZ561" t="s">
        <v>67</v>
      </c>
      <c r="BA561" t="s">
        <v>67</v>
      </c>
      <c r="BB561" t="s">
        <v>997</v>
      </c>
    </row>
    <row r="562" spans="1:54" x14ac:dyDescent="0.3">
      <c r="A562">
        <v>1</v>
      </c>
      <c r="B562">
        <v>15</v>
      </c>
      <c r="C562" t="s">
        <v>54</v>
      </c>
      <c r="D562" s="3">
        <v>46182.511689814812</v>
      </c>
      <c r="E562" s="8">
        <v>46211</v>
      </c>
      <c r="F562" t="s">
        <v>1954</v>
      </c>
      <c r="G562" t="s">
        <v>56</v>
      </c>
      <c r="H562" t="s">
        <v>298</v>
      </c>
      <c r="I562" t="s">
        <v>1955</v>
      </c>
      <c r="J562" t="s">
        <v>59</v>
      </c>
      <c r="K562" t="s">
        <v>60</v>
      </c>
      <c r="L562" t="s">
        <v>61</v>
      </c>
      <c r="M562" t="s">
        <v>62</v>
      </c>
      <c r="N562" t="s">
        <v>62</v>
      </c>
      <c r="O562" t="s">
        <v>918</v>
      </c>
      <c r="P562" t="s">
        <v>919</v>
      </c>
      <c r="Q562" s="5">
        <v>4</v>
      </c>
      <c r="R562" s="6">
        <v>87</v>
      </c>
      <c r="S562" s="6">
        <v>348</v>
      </c>
      <c r="T562" s="6">
        <v>216</v>
      </c>
      <c r="U562" s="3">
        <v>46300.25</v>
      </c>
      <c r="W562" t="s">
        <v>1956</v>
      </c>
      <c r="X562" t="s">
        <v>70</v>
      </c>
      <c r="Y562" t="s">
        <v>23</v>
      </c>
      <c r="Z562" t="s">
        <v>521</v>
      </c>
      <c r="AA562" t="s">
        <v>522</v>
      </c>
      <c r="AB562" t="s">
        <v>67</v>
      </c>
      <c r="AC562" t="s">
        <v>70</v>
      </c>
      <c r="AD562" t="s">
        <v>71</v>
      </c>
      <c r="AE562" t="s">
        <v>102</v>
      </c>
      <c r="AF562" t="s">
        <v>67</v>
      </c>
      <c r="AH562" t="b">
        <v>0</v>
      </c>
      <c r="AI562" t="b">
        <v>0</v>
      </c>
      <c r="AJ562" t="b">
        <v>0</v>
      </c>
      <c r="AK562" t="b">
        <v>0</v>
      </c>
      <c r="AL562" s="6">
        <v>54</v>
      </c>
      <c r="AM562" s="3">
        <v>46300.25</v>
      </c>
      <c r="AN562">
        <v>1</v>
      </c>
      <c r="AO562" s="3">
        <v>46244.633564814823</v>
      </c>
      <c r="AP562" t="s">
        <v>1957</v>
      </c>
      <c r="AQ562" t="s">
        <v>1958</v>
      </c>
      <c r="AR562" t="s">
        <v>113</v>
      </c>
      <c r="AS562">
        <v>2</v>
      </c>
      <c r="AT562" t="b">
        <v>1</v>
      </c>
      <c r="AU562" t="s">
        <v>285</v>
      </c>
      <c r="AV562" t="b">
        <v>1</v>
      </c>
      <c r="AW562" t="b">
        <v>0</v>
      </c>
      <c r="AX562" s="5">
        <v>0</v>
      </c>
      <c r="AY562" s="3"/>
      <c r="AZ562" t="s">
        <v>67</v>
      </c>
      <c r="BA562" t="s">
        <v>67</v>
      </c>
      <c r="BB562" t="s">
        <v>997</v>
      </c>
    </row>
    <row r="563" spans="1:54" x14ac:dyDescent="0.3">
      <c r="A563">
        <v>1</v>
      </c>
      <c r="B563">
        <v>15</v>
      </c>
      <c r="C563" t="s">
        <v>54</v>
      </c>
      <c r="D563" s="3">
        <v>46182.511689814812</v>
      </c>
      <c r="E563" s="8">
        <v>46211</v>
      </c>
      <c r="F563" t="s">
        <v>1954</v>
      </c>
      <c r="G563" t="s">
        <v>56</v>
      </c>
      <c r="H563" t="s">
        <v>298</v>
      </c>
      <c r="I563" t="s">
        <v>1955</v>
      </c>
      <c r="J563" t="s">
        <v>59</v>
      </c>
      <c r="K563" t="s">
        <v>60</v>
      </c>
      <c r="L563" t="s">
        <v>61</v>
      </c>
      <c r="M563" t="s">
        <v>62</v>
      </c>
      <c r="N563" t="s">
        <v>62</v>
      </c>
      <c r="O563" t="s">
        <v>920</v>
      </c>
      <c r="P563" t="s">
        <v>921</v>
      </c>
      <c r="Q563" s="5">
        <v>1</v>
      </c>
      <c r="R563" s="6">
        <v>685</v>
      </c>
      <c r="S563" s="6">
        <v>685</v>
      </c>
      <c r="T563" s="6">
        <v>428</v>
      </c>
      <c r="U563" s="3">
        <v>46300.25</v>
      </c>
      <c r="W563" t="s">
        <v>1956</v>
      </c>
      <c r="X563" t="s">
        <v>70</v>
      </c>
      <c r="Y563" t="s">
        <v>23</v>
      </c>
      <c r="Z563" t="s">
        <v>521</v>
      </c>
      <c r="AA563" t="s">
        <v>522</v>
      </c>
      <c r="AB563" t="s">
        <v>67</v>
      </c>
      <c r="AC563" t="s">
        <v>70</v>
      </c>
      <c r="AD563" t="s">
        <v>71</v>
      </c>
      <c r="AE563" t="s">
        <v>102</v>
      </c>
      <c r="AF563" t="s">
        <v>67</v>
      </c>
      <c r="AH563" t="b">
        <v>0</v>
      </c>
      <c r="AI563" t="b">
        <v>0</v>
      </c>
      <c r="AJ563" t="b">
        <v>0</v>
      </c>
      <c r="AK563" t="b">
        <v>0</v>
      </c>
      <c r="AL563" s="6">
        <v>428</v>
      </c>
      <c r="AM563" s="3">
        <v>46300.25</v>
      </c>
      <c r="AN563">
        <v>1</v>
      </c>
      <c r="AO563" s="3">
        <v>46244.633564814823</v>
      </c>
      <c r="AP563" t="s">
        <v>1957</v>
      </c>
      <c r="AQ563" t="s">
        <v>1958</v>
      </c>
      <c r="AR563" t="s">
        <v>113</v>
      </c>
      <c r="AS563">
        <v>2</v>
      </c>
      <c r="AT563" t="b">
        <v>1</v>
      </c>
      <c r="AU563" t="s">
        <v>285</v>
      </c>
      <c r="AV563" t="b">
        <v>1</v>
      </c>
      <c r="AW563" t="b">
        <v>0</v>
      </c>
      <c r="AX563" s="5">
        <v>0</v>
      </c>
      <c r="AY563" s="3"/>
      <c r="AZ563" t="s">
        <v>67</v>
      </c>
      <c r="BA563" t="s">
        <v>67</v>
      </c>
      <c r="BB563" t="s">
        <v>997</v>
      </c>
    </row>
    <row r="564" spans="1:54" x14ac:dyDescent="0.3">
      <c r="A564">
        <v>1</v>
      </c>
      <c r="B564">
        <v>15</v>
      </c>
      <c r="C564" t="s">
        <v>54</v>
      </c>
      <c r="D564" s="3">
        <v>46182.511689814812</v>
      </c>
      <c r="E564" s="8">
        <v>46211</v>
      </c>
      <c r="F564" t="s">
        <v>1954</v>
      </c>
      <c r="G564" t="s">
        <v>56</v>
      </c>
      <c r="H564" t="s">
        <v>298</v>
      </c>
      <c r="I564" t="s">
        <v>1955</v>
      </c>
      <c r="J564" t="s">
        <v>59</v>
      </c>
      <c r="K564" t="s">
        <v>60</v>
      </c>
      <c r="L564" t="s">
        <v>61</v>
      </c>
      <c r="M564" t="s">
        <v>62</v>
      </c>
      <c r="N564" t="s">
        <v>62</v>
      </c>
      <c r="O564" t="s">
        <v>903</v>
      </c>
      <c r="P564" t="s">
        <v>904</v>
      </c>
      <c r="Q564" s="5">
        <v>1</v>
      </c>
      <c r="R564" s="6">
        <v>173</v>
      </c>
      <c r="S564" s="6">
        <v>173</v>
      </c>
      <c r="T564" s="6">
        <v>108</v>
      </c>
      <c r="U564" s="3">
        <v>46300.25</v>
      </c>
      <c r="W564" t="s">
        <v>1956</v>
      </c>
      <c r="X564" t="s">
        <v>70</v>
      </c>
      <c r="Y564" t="s">
        <v>23</v>
      </c>
      <c r="Z564" t="s">
        <v>521</v>
      </c>
      <c r="AA564" t="s">
        <v>522</v>
      </c>
      <c r="AB564" t="s">
        <v>67</v>
      </c>
      <c r="AC564" t="s">
        <v>70</v>
      </c>
      <c r="AD564" t="s">
        <v>71</v>
      </c>
      <c r="AE564" t="s">
        <v>102</v>
      </c>
      <c r="AF564" t="s">
        <v>67</v>
      </c>
      <c r="AH564" t="b">
        <v>0</v>
      </c>
      <c r="AI564" t="b">
        <v>0</v>
      </c>
      <c r="AJ564" t="b">
        <v>0</v>
      </c>
      <c r="AK564" t="b">
        <v>0</v>
      </c>
      <c r="AL564" s="6">
        <v>108</v>
      </c>
      <c r="AM564" s="3">
        <v>46300.25</v>
      </c>
      <c r="AN564">
        <v>1</v>
      </c>
      <c r="AO564" s="3">
        <v>46244.633564814823</v>
      </c>
      <c r="AP564" t="s">
        <v>1957</v>
      </c>
      <c r="AQ564" t="s">
        <v>1958</v>
      </c>
      <c r="AR564" t="s">
        <v>113</v>
      </c>
      <c r="AS564">
        <v>2</v>
      </c>
      <c r="AT564" t="b">
        <v>1</v>
      </c>
      <c r="AU564" t="s">
        <v>285</v>
      </c>
      <c r="AV564" t="b">
        <v>1</v>
      </c>
      <c r="AW564" t="b">
        <v>0</v>
      </c>
      <c r="AX564" s="5">
        <v>0</v>
      </c>
      <c r="AY564" s="3"/>
      <c r="AZ564" t="s">
        <v>67</v>
      </c>
      <c r="BA564" t="s">
        <v>67</v>
      </c>
      <c r="BB564" t="s">
        <v>997</v>
      </c>
    </row>
    <row r="565" spans="1:54" x14ac:dyDescent="0.3">
      <c r="A565">
        <v>1</v>
      </c>
      <c r="B565">
        <v>15</v>
      </c>
      <c r="C565" t="s">
        <v>54</v>
      </c>
      <c r="D565" s="3">
        <v>46182.511689814812</v>
      </c>
      <c r="E565" s="8">
        <v>46211</v>
      </c>
      <c r="F565" t="s">
        <v>1954</v>
      </c>
      <c r="G565" t="s">
        <v>56</v>
      </c>
      <c r="H565" t="s">
        <v>298</v>
      </c>
      <c r="I565" t="s">
        <v>1955</v>
      </c>
      <c r="J565" t="s">
        <v>59</v>
      </c>
      <c r="K565" t="s">
        <v>60</v>
      </c>
      <c r="L565" t="s">
        <v>61</v>
      </c>
      <c r="M565" t="s">
        <v>62</v>
      </c>
      <c r="N565" t="s">
        <v>62</v>
      </c>
      <c r="O565" t="s">
        <v>922</v>
      </c>
      <c r="P565" t="s">
        <v>923</v>
      </c>
      <c r="Q565" s="5">
        <v>1</v>
      </c>
      <c r="R565" s="6">
        <v>1047</v>
      </c>
      <c r="S565" s="6">
        <v>1047</v>
      </c>
      <c r="T565" s="6">
        <v>654</v>
      </c>
      <c r="U565" s="3">
        <v>46300.25</v>
      </c>
      <c r="W565" t="s">
        <v>1956</v>
      </c>
      <c r="X565" t="s">
        <v>70</v>
      </c>
      <c r="Y565" t="s">
        <v>23</v>
      </c>
      <c r="Z565" t="s">
        <v>521</v>
      </c>
      <c r="AA565" t="s">
        <v>522</v>
      </c>
      <c r="AB565" t="s">
        <v>67</v>
      </c>
      <c r="AC565" t="s">
        <v>70</v>
      </c>
      <c r="AD565" t="s">
        <v>71</v>
      </c>
      <c r="AF565" t="s">
        <v>67</v>
      </c>
      <c r="AH565" t="b">
        <v>0</v>
      </c>
      <c r="AI565" t="b">
        <v>0</v>
      </c>
      <c r="AJ565" t="b">
        <v>0</v>
      </c>
      <c r="AK565" t="b">
        <v>0</v>
      </c>
      <c r="AL565" s="6">
        <v>654</v>
      </c>
      <c r="AM565" s="3">
        <v>46300.25</v>
      </c>
      <c r="AN565">
        <v>1</v>
      </c>
      <c r="AO565" s="3">
        <v>46244.633564814823</v>
      </c>
      <c r="AP565" t="s">
        <v>1957</v>
      </c>
      <c r="AQ565" t="s">
        <v>1958</v>
      </c>
      <c r="AR565" t="s">
        <v>113</v>
      </c>
      <c r="AS565">
        <v>2</v>
      </c>
      <c r="AT565" t="b">
        <v>1</v>
      </c>
      <c r="AU565" t="s">
        <v>285</v>
      </c>
      <c r="AV565" t="b">
        <v>1</v>
      </c>
      <c r="AW565" t="b">
        <v>0</v>
      </c>
      <c r="AX565" s="5">
        <v>0</v>
      </c>
      <c r="AY565" s="3"/>
      <c r="AZ565" t="s">
        <v>67</v>
      </c>
      <c r="BA565" t="s">
        <v>67</v>
      </c>
      <c r="BB565" t="s">
        <v>997</v>
      </c>
    </row>
    <row r="566" spans="1:54" x14ac:dyDescent="0.3">
      <c r="A566">
        <v>1</v>
      </c>
      <c r="B566">
        <v>15</v>
      </c>
      <c r="C566" t="s">
        <v>54</v>
      </c>
      <c r="D566" s="3">
        <v>46182.511689814812</v>
      </c>
      <c r="E566" s="8">
        <v>46211</v>
      </c>
      <c r="F566" t="s">
        <v>1954</v>
      </c>
      <c r="G566" t="s">
        <v>56</v>
      </c>
      <c r="H566" t="s">
        <v>298</v>
      </c>
      <c r="I566" t="s">
        <v>1955</v>
      </c>
      <c r="J566" t="s">
        <v>59</v>
      </c>
      <c r="K566" t="s">
        <v>60</v>
      </c>
      <c r="L566" t="s">
        <v>61</v>
      </c>
      <c r="M566" t="s">
        <v>62</v>
      </c>
      <c r="N566" t="s">
        <v>62</v>
      </c>
      <c r="O566" t="s">
        <v>1936</v>
      </c>
      <c r="P566" t="s">
        <v>1937</v>
      </c>
      <c r="Q566" s="5">
        <v>4</v>
      </c>
      <c r="R566" s="6">
        <v>64.66</v>
      </c>
      <c r="S566" s="6">
        <v>258.64</v>
      </c>
      <c r="T566" s="6">
        <v>76.8</v>
      </c>
      <c r="U566" s="3">
        <v>46300.25</v>
      </c>
      <c r="W566" t="s">
        <v>1956</v>
      </c>
      <c r="X566" t="s">
        <v>70</v>
      </c>
      <c r="Y566" t="s">
        <v>68</v>
      </c>
      <c r="Z566" t="s">
        <v>521</v>
      </c>
      <c r="AA566" t="s">
        <v>522</v>
      </c>
      <c r="AB566" t="s">
        <v>67</v>
      </c>
      <c r="AC566" t="s">
        <v>70</v>
      </c>
      <c r="AD566" t="s">
        <v>71</v>
      </c>
      <c r="AE566" t="s">
        <v>185</v>
      </c>
      <c r="AF566" t="s">
        <v>67</v>
      </c>
      <c r="AG566" t="s">
        <v>1938</v>
      </c>
      <c r="AH566" t="b">
        <v>0</v>
      </c>
      <c r="AI566" t="b">
        <v>0</v>
      </c>
      <c r="AJ566" t="b">
        <v>0</v>
      </c>
      <c r="AK566" t="b">
        <v>0</v>
      </c>
      <c r="AL566" s="6">
        <v>19.2</v>
      </c>
      <c r="AM566" s="3">
        <v>46300.25</v>
      </c>
      <c r="AN566">
        <v>1</v>
      </c>
      <c r="AO566" s="3">
        <v>46244.633564814823</v>
      </c>
      <c r="AP566" t="s">
        <v>1957</v>
      </c>
      <c r="AQ566" t="s">
        <v>1958</v>
      </c>
      <c r="AR566" t="s">
        <v>113</v>
      </c>
      <c r="AS566">
        <v>2</v>
      </c>
      <c r="AT566" t="b">
        <v>1</v>
      </c>
      <c r="AU566" t="s">
        <v>285</v>
      </c>
      <c r="AV566" t="b">
        <v>1</v>
      </c>
      <c r="AW566" t="b">
        <v>0</v>
      </c>
      <c r="AX566" s="5">
        <v>0</v>
      </c>
      <c r="AY566" s="3"/>
      <c r="AZ566" t="s">
        <v>67</v>
      </c>
      <c r="BA566" t="s">
        <v>67</v>
      </c>
      <c r="BB566" t="s">
        <v>997</v>
      </c>
    </row>
    <row r="567" spans="1:54" x14ac:dyDescent="0.3">
      <c r="A567">
        <v>1</v>
      </c>
      <c r="B567">
        <v>15</v>
      </c>
      <c r="C567" t="s">
        <v>54</v>
      </c>
      <c r="D567" s="3">
        <v>46182.511689814812</v>
      </c>
      <c r="E567" s="8">
        <v>46211</v>
      </c>
      <c r="F567" t="s">
        <v>1954</v>
      </c>
      <c r="G567" t="s">
        <v>56</v>
      </c>
      <c r="H567" t="s">
        <v>298</v>
      </c>
      <c r="I567" t="s">
        <v>1955</v>
      </c>
      <c r="J567" t="s">
        <v>59</v>
      </c>
      <c r="K567" t="s">
        <v>60</v>
      </c>
      <c r="L567" t="s">
        <v>61</v>
      </c>
      <c r="M567" t="s">
        <v>62</v>
      </c>
      <c r="N567" t="s">
        <v>62</v>
      </c>
      <c r="O567" t="s">
        <v>1959</v>
      </c>
      <c r="P567" t="s">
        <v>1960</v>
      </c>
      <c r="Q567" s="5">
        <v>4</v>
      </c>
      <c r="R567" s="6">
        <v>79</v>
      </c>
      <c r="S567" s="6">
        <v>316</v>
      </c>
      <c r="T567" s="6">
        <v>113.6</v>
      </c>
      <c r="U567" s="3">
        <v>46300.25</v>
      </c>
      <c r="W567" t="s">
        <v>1956</v>
      </c>
      <c r="X567" t="s">
        <v>70</v>
      </c>
      <c r="Y567" t="s">
        <v>68</v>
      </c>
      <c r="Z567" t="s">
        <v>521</v>
      </c>
      <c r="AA567" t="s">
        <v>522</v>
      </c>
      <c r="AB567" t="s">
        <v>67</v>
      </c>
      <c r="AC567" t="s">
        <v>70</v>
      </c>
      <c r="AD567" t="s">
        <v>71</v>
      </c>
      <c r="AE567" t="s">
        <v>185</v>
      </c>
      <c r="AF567" t="s">
        <v>67</v>
      </c>
      <c r="AG567" t="s">
        <v>1961</v>
      </c>
      <c r="AH567" t="b">
        <v>0</v>
      </c>
      <c r="AI567" t="b">
        <v>0</v>
      </c>
      <c r="AJ567" t="b">
        <v>0</v>
      </c>
      <c r="AK567" t="b">
        <v>0</v>
      </c>
      <c r="AL567" s="6">
        <v>28.4</v>
      </c>
      <c r="AM567" s="3">
        <v>46300.25</v>
      </c>
      <c r="AN567">
        <v>1</v>
      </c>
      <c r="AO567" s="3">
        <v>46244.633564814823</v>
      </c>
      <c r="AP567" t="s">
        <v>1957</v>
      </c>
      <c r="AQ567" t="s">
        <v>1958</v>
      </c>
      <c r="AR567" t="s">
        <v>113</v>
      </c>
      <c r="AS567">
        <v>2</v>
      </c>
      <c r="AT567" t="b">
        <v>1</v>
      </c>
      <c r="AU567" t="s">
        <v>285</v>
      </c>
      <c r="AV567" t="b">
        <v>1</v>
      </c>
      <c r="AW567" t="b">
        <v>0</v>
      </c>
      <c r="AX567" s="5">
        <v>0</v>
      </c>
      <c r="AY567" s="3"/>
      <c r="AZ567" t="s">
        <v>67</v>
      </c>
      <c r="BA567" t="s">
        <v>67</v>
      </c>
      <c r="BB567" t="s">
        <v>997</v>
      </c>
    </row>
    <row r="568" spans="1:54" x14ac:dyDescent="0.3">
      <c r="A568">
        <v>1</v>
      </c>
      <c r="B568">
        <v>15</v>
      </c>
      <c r="C568" t="s">
        <v>54</v>
      </c>
      <c r="D568" s="3">
        <v>46182.511689814812</v>
      </c>
      <c r="E568" s="8">
        <v>46211</v>
      </c>
      <c r="F568" t="s">
        <v>1954</v>
      </c>
      <c r="G568" t="s">
        <v>56</v>
      </c>
      <c r="H568" t="s">
        <v>298</v>
      </c>
      <c r="I568" t="s">
        <v>1955</v>
      </c>
      <c r="J568" t="s">
        <v>59</v>
      </c>
      <c r="K568" t="s">
        <v>60</v>
      </c>
      <c r="L568" t="s">
        <v>61</v>
      </c>
      <c r="M568" t="s">
        <v>62</v>
      </c>
      <c r="N568" t="s">
        <v>62</v>
      </c>
      <c r="O568" t="s">
        <v>1962</v>
      </c>
      <c r="P568" t="s">
        <v>1963</v>
      </c>
      <c r="Q568" s="5">
        <v>4</v>
      </c>
      <c r="R568" s="6">
        <v>78.08</v>
      </c>
      <c r="S568" s="6">
        <v>312.32</v>
      </c>
      <c r="T568" s="6">
        <v>92.8</v>
      </c>
      <c r="U568" s="3">
        <v>46300.25</v>
      </c>
      <c r="W568" t="s">
        <v>1956</v>
      </c>
      <c r="X568" t="s">
        <v>70</v>
      </c>
      <c r="Y568" t="s">
        <v>68</v>
      </c>
      <c r="Z568" t="s">
        <v>521</v>
      </c>
      <c r="AA568" t="s">
        <v>522</v>
      </c>
      <c r="AB568" t="s">
        <v>67</v>
      </c>
      <c r="AC568" t="s">
        <v>70</v>
      </c>
      <c r="AD568" t="s">
        <v>71</v>
      </c>
      <c r="AE568" t="s">
        <v>185</v>
      </c>
      <c r="AF568" t="s">
        <v>67</v>
      </c>
      <c r="AG568" t="s">
        <v>1964</v>
      </c>
      <c r="AH568" t="b">
        <v>0</v>
      </c>
      <c r="AI568" t="b">
        <v>0</v>
      </c>
      <c r="AJ568" t="b">
        <v>0</v>
      </c>
      <c r="AK568" t="b">
        <v>0</v>
      </c>
      <c r="AL568" s="6">
        <v>23.2</v>
      </c>
      <c r="AM568" s="3">
        <v>46300.25</v>
      </c>
      <c r="AN568">
        <v>1</v>
      </c>
      <c r="AO568" s="3">
        <v>46244.633564814823</v>
      </c>
      <c r="AP568" t="s">
        <v>1957</v>
      </c>
      <c r="AQ568" t="s">
        <v>1958</v>
      </c>
      <c r="AR568" t="s">
        <v>113</v>
      </c>
      <c r="AS568">
        <v>2</v>
      </c>
      <c r="AT568" t="b">
        <v>1</v>
      </c>
      <c r="AU568" t="s">
        <v>285</v>
      </c>
      <c r="AV568" t="b">
        <v>1</v>
      </c>
      <c r="AW568" t="b">
        <v>0</v>
      </c>
      <c r="AX568" s="5">
        <v>0</v>
      </c>
      <c r="AY568" s="3"/>
      <c r="AZ568" t="s">
        <v>67</v>
      </c>
      <c r="BA568" t="s">
        <v>67</v>
      </c>
      <c r="BB568" t="s">
        <v>997</v>
      </c>
    </row>
    <row r="569" spans="1:54" x14ac:dyDescent="0.3">
      <c r="A569">
        <v>1</v>
      </c>
      <c r="B569">
        <v>15</v>
      </c>
      <c r="C569" t="s">
        <v>54</v>
      </c>
      <c r="D569" s="3">
        <v>46182.511689814812</v>
      </c>
      <c r="E569" s="8">
        <v>46211</v>
      </c>
      <c r="F569" t="s">
        <v>1954</v>
      </c>
      <c r="G569" t="s">
        <v>56</v>
      </c>
      <c r="H569" t="s">
        <v>298</v>
      </c>
      <c r="I569" t="s">
        <v>1955</v>
      </c>
      <c r="J569" t="s">
        <v>59</v>
      </c>
      <c r="K569" t="s">
        <v>60</v>
      </c>
      <c r="L569" t="s">
        <v>61</v>
      </c>
      <c r="M569" t="s">
        <v>62</v>
      </c>
      <c r="N569" t="s">
        <v>62</v>
      </c>
      <c r="O569" t="s">
        <v>1789</v>
      </c>
      <c r="P569" t="s">
        <v>1790</v>
      </c>
      <c r="Q569" s="5">
        <v>2</v>
      </c>
      <c r="R569" s="6">
        <v>630</v>
      </c>
      <c r="S569" s="6">
        <v>1260</v>
      </c>
      <c r="T569" s="6">
        <v>436</v>
      </c>
      <c r="U569" s="3">
        <v>46300.25</v>
      </c>
      <c r="W569" t="s">
        <v>1956</v>
      </c>
      <c r="X569" t="s">
        <v>70</v>
      </c>
      <c r="Y569" t="s">
        <v>68</v>
      </c>
      <c r="Z569" t="s">
        <v>521</v>
      </c>
      <c r="AA569" t="s">
        <v>522</v>
      </c>
      <c r="AB569" t="s">
        <v>67</v>
      </c>
      <c r="AC569" t="s">
        <v>70</v>
      </c>
      <c r="AD569" t="s">
        <v>71</v>
      </c>
      <c r="AE569" t="s">
        <v>185</v>
      </c>
      <c r="AF569" t="s">
        <v>67</v>
      </c>
      <c r="AG569" t="s">
        <v>1791</v>
      </c>
      <c r="AH569" t="b">
        <v>0</v>
      </c>
      <c r="AI569" t="b">
        <v>0</v>
      </c>
      <c r="AJ569" t="b">
        <v>0</v>
      </c>
      <c r="AK569" t="b">
        <v>0</v>
      </c>
      <c r="AL569" s="6">
        <v>218</v>
      </c>
      <c r="AM569" s="3">
        <v>46300.25</v>
      </c>
      <c r="AN569">
        <v>1</v>
      </c>
      <c r="AO569" s="3">
        <v>46244.633564814823</v>
      </c>
      <c r="AP569" t="s">
        <v>1957</v>
      </c>
      <c r="AQ569" t="s">
        <v>1958</v>
      </c>
      <c r="AR569" t="s">
        <v>113</v>
      </c>
      <c r="AS569">
        <v>2</v>
      </c>
      <c r="AT569" t="b">
        <v>1</v>
      </c>
      <c r="AU569" t="s">
        <v>285</v>
      </c>
      <c r="AV569" t="b">
        <v>1</v>
      </c>
      <c r="AW569" t="b">
        <v>0</v>
      </c>
      <c r="AX569" s="5">
        <v>0</v>
      </c>
      <c r="AY569" s="3"/>
      <c r="AZ569" t="s">
        <v>67</v>
      </c>
      <c r="BA569" t="s">
        <v>67</v>
      </c>
      <c r="BB569" t="s">
        <v>997</v>
      </c>
    </row>
    <row r="570" spans="1:54" x14ac:dyDescent="0.3">
      <c r="A570">
        <v>1</v>
      </c>
      <c r="B570">
        <v>15</v>
      </c>
      <c r="C570" t="s">
        <v>54</v>
      </c>
      <c r="D570" s="3">
        <v>46182.511689814812</v>
      </c>
      <c r="E570" s="8">
        <v>46211</v>
      </c>
      <c r="F570" t="s">
        <v>1954</v>
      </c>
      <c r="G570" t="s">
        <v>56</v>
      </c>
      <c r="H570" t="s">
        <v>298</v>
      </c>
      <c r="I570" t="s">
        <v>1955</v>
      </c>
      <c r="J570" t="s">
        <v>59</v>
      </c>
      <c r="K570" t="s">
        <v>60</v>
      </c>
      <c r="L570" t="s">
        <v>61</v>
      </c>
      <c r="M570" t="s">
        <v>62</v>
      </c>
      <c r="N570" t="s">
        <v>62</v>
      </c>
      <c r="O570" t="s">
        <v>1792</v>
      </c>
      <c r="P570" t="s">
        <v>1793</v>
      </c>
      <c r="Q570" s="5">
        <v>4</v>
      </c>
      <c r="R570" s="6">
        <v>630</v>
      </c>
      <c r="S570" s="6">
        <v>2520</v>
      </c>
      <c r="T570" s="6">
        <v>872</v>
      </c>
      <c r="U570" s="3">
        <v>46300.25</v>
      </c>
      <c r="W570" t="s">
        <v>1956</v>
      </c>
      <c r="X570" t="s">
        <v>70</v>
      </c>
      <c r="Y570" t="s">
        <v>68</v>
      </c>
      <c r="Z570" t="s">
        <v>521</v>
      </c>
      <c r="AA570" t="s">
        <v>522</v>
      </c>
      <c r="AB570" t="s">
        <v>67</v>
      </c>
      <c r="AC570" t="s">
        <v>70</v>
      </c>
      <c r="AD570" t="s">
        <v>71</v>
      </c>
      <c r="AE570" t="s">
        <v>185</v>
      </c>
      <c r="AF570" t="s">
        <v>67</v>
      </c>
      <c r="AG570" t="s">
        <v>1794</v>
      </c>
      <c r="AH570" t="b">
        <v>0</v>
      </c>
      <c r="AI570" t="b">
        <v>0</v>
      </c>
      <c r="AJ570" t="b">
        <v>0</v>
      </c>
      <c r="AK570" t="b">
        <v>0</v>
      </c>
      <c r="AL570" s="6">
        <v>218</v>
      </c>
      <c r="AM570" s="3">
        <v>46300.25</v>
      </c>
      <c r="AN570">
        <v>1</v>
      </c>
      <c r="AO570" s="3">
        <v>46244.633564814823</v>
      </c>
      <c r="AP570" t="s">
        <v>1957</v>
      </c>
      <c r="AQ570" t="s">
        <v>1958</v>
      </c>
      <c r="AR570" t="s">
        <v>113</v>
      </c>
      <c r="AS570">
        <v>2</v>
      </c>
      <c r="AT570" t="b">
        <v>1</v>
      </c>
      <c r="AU570" t="s">
        <v>285</v>
      </c>
      <c r="AV570" t="b">
        <v>1</v>
      </c>
      <c r="AW570" t="b">
        <v>0</v>
      </c>
      <c r="AX570" s="5">
        <v>0</v>
      </c>
      <c r="AY570" s="3"/>
      <c r="AZ570" t="s">
        <v>67</v>
      </c>
      <c r="BA570" t="s">
        <v>67</v>
      </c>
      <c r="BB570" t="s">
        <v>997</v>
      </c>
    </row>
    <row r="571" spans="1:54" x14ac:dyDescent="0.3">
      <c r="A571">
        <v>1</v>
      </c>
      <c r="B571">
        <v>15</v>
      </c>
      <c r="C571" t="s">
        <v>54</v>
      </c>
      <c r="D571" s="3">
        <v>46182.511689814812</v>
      </c>
      <c r="E571" s="8">
        <v>46211</v>
      </c>
      <c r="F571" t="s">
        <v>1954</v>
      </c>
      <c r="G571" t="s">
        <v>56</v>
      </c>
      <c r="H571" t="s">
        <v>298</v>
      </c>
      <c r="I571" t="s">
        <v>1955</v>
      </c>
      <c r="J571" t="s">
        <v>59</v>
      </c>
      <c r="K571" t="s">
        <v>60</v>
      </c>
      <c r="L571" t="s">
        <v>61</v>
      </c>
      <c r="M571" t="s">
        <v>62</v>
      </c>
      <c r="N571" t="s">
        <v>62</v>
      </c>
      <c r="O571" t="s">
        <v>1965</v>
      </c>
      <c r="P571" t="s">
        <v>1966</v>
      </c>
      <c r="Q571" s="5">
        <v>2</v>
      </c>
      <c r="R571" s="6">
        <v>630</v>
      </c>
      <c r="S571" s="6">
        <v>1260</v>
      </c>
      <c r="T571" s="6">
        <v>436</v>
      </c>
      <c r="U571" s="3">
        <v>46300.25</v>
      </c>
      <c r="W571" t="s">
        <v>1956</v>
      </c>
      <c r="X571" t="s">
        <v>70</v>
      </c>
      <c r="Y571" t="s">
        <v>68</v>
      </c>
      <c r="Z571" t="s">
        <v>521</v>
      </c>
      <c r="AA571" t="s">
        <v>522</v>
      </c>
      <c r="AB571" t="s">
        <v>67</v>
      </c>
      <c r="AC571" t="s">
        <v>70</v>
      </c>
      <c r="AD571" t="s">
        <v>71</v>
      </c>
      <c r="AE571" t="s">
        <v>185</v>
      </c>
      <c r="AF571" t="s">
        <v>67</v>
      </c>
      <c r="AG571" t="s">
        <v>1967</v>
      </c>
      <c r="AH571" t="b">
        <v>0</v>
      </c>
      <c r="AI571" t="b">
        <v>0</v>
      </c>
      <c r="AJ571" t="b">
        <v>0</v>
      </c>
      <c r="AK571" t="b">
        <v>0</v>
      </c>
      <c r="AL571" s="6">
        <v>218</v>
      </c>
      <c r="AM571" s="3">
        <v>46300.25</v>
      </c>
      <c r="AN571">
        <v>1</v>
      </c>
      <c r="AO571" s="3">
        <v>46244.633564814823</v>
      </c>
      <c r="AP571" t="s">
        <v>1957</v>
      </c>
      <c r="AQ571" t="s">
        <v>1958</v>
      </c>
      <c r="AR571" t="s">
        <v>113</v>
      </c>
      <c r="AS571">
        <v>2</v>
      </c>
      <c r="AT571" t="b">
        <v>1</v>
      </c>
      <c r="AU571" t="s">
        <v>285</v>
      </c>
      <c r="AV571" t="b">
        <v>1</v>
      </c>
      <c r="AW571" t="b">
        <v>0</v>
      </c>
      <c r="AX571" s="5">
        <v>0</v>
      </c>
      <c r="AY571" s="3"/>
      <c r="AZ571" t="s">
        <v>67</v>
      </c>
      <c r="BA571" t="s">
        <v>67</v>
      </c>
      <c r="BB571" t="s">
        <v>997</v>
      </c>
    </row>
    <row r="572" spans="1:54" x14ac:dyDescent="0.3">
      <c r="A572">
        <v>1</v>
      </c>
      <c r="B572">
        <v>15</v>
      </c>
      <c r="C572" t="s">
        <v>54</v>
      </c>
      <c r="D572" s="3">
        <v>46182.511689814812</v>
      </c>
      <c r="E572" s="8">
        <v>46211</v>
      </c>
      <c r="F572" t="s">
        <v>1954</v>
      </c>
      <c r="G572" t="s">
        <v>56</v>
      </c>
      <c r="H572" t="s">
        <v>298</v>
      </c>
      <c r="I572" t="s">
        <v>1955</v>
      </c>
      <c r="J572" t="s">
        <v>59</v>
      </c>
      <c r="K572" t="s">
        <v>60</v>
      </c>
      <c r="L572" t="s">
        <v>61</v>
      </c>
      <c r="M572" t="s">
        <v>62</v>
      </c>
      <c r="N572" t="s">
        <v>62</v>
      </c>
      <c r="O572" t="s">
        <v>1968</v>
      </c>
      <c r="P572" t="s">
        <v>1969</v>
      </c>
      <c r="Q572" s="5">
        <v>2</v>
      </c>
      <c r="R572" s="6">
        <v>405.04</v>
      </c>
      <c r="S572" s="6">
        <v>810.08</v>
      </c>
      <c r="T572" s="6">
        <v>240.8</v>
      </c>
      <c r="U572" s="3">
        <v>46300.25</v>
      </c>
      <c r="W572" t="s">
        <v>1956</v>
      </c>
      <c r="X572" t="s">
        <v>70</v>
      </c>
      <c r="Y572" t="s">
        <v>68</v>
      </c>
      <c r="Z572" t="s">
        <v>521</v>
      </c>
      <c r="AA572" t="s">
        <v>522</v>
      </c>
      <c r="AB572" t="s">
        <v>67</v>
      </c>
      <c r="AC572" t="s">
        <v>70</v>
      </c>
      <c r="AD572" t="s">
        <v>71</v>
      </c>
      <c r="AE572" t="s">
        <v>185</v>
      </c>
      <c r="AF572" t="s">
        <v>67</v>
      </c>
      <c r="AG572" t="s">
        <v>1970</v>
      </c>
      <c r="AH572" t="b">
        <v>0</v>
      </c>
      <c r="AI572" t="b">
        <v>0</v>
      </c>
      <c r="AJ572" t="b">
        <v>0</v>
      </c>
      <c r="AK572" t="b">
        <v>0</v>
      </c>
      <c r="AL572" s="6">
        <v>120.4</v>
      </c>
      <c r="AM572" s="3">
        <v>46300.25</v>
      </c>
      <c r="AN572">
        <v>1</v>
      </c>
      <c r="AO572" s="3">
        <v>46244.633564814823</v>
      </c>
      <c r="AP572" t="s">
        <v>1957</v>
      </c>
      <c r="AQ572" t="s">
        <v>1958</v>
      </c>
      <c r="AR572" t="s">
        <v>113</v>
      </c>
      <c r="AS572">
        <v>2</v>
      </c>
      <c r="AT572" t="b">
        <v>1</v>
      </c>
      <c r="AU572" t="s">
        <v>285</v>
      </c>
      <c r="AV572" t="b">
        <v>1</v>
      </c>
      <c r="AW572" t="b">
        <v>0</v>
      </c>
      <c r="AX572" s="5">
        <v>0</v>
      </c>
      <c r="AY572" s="3"/>
      <c r="AZ572" t="s">
        <v>67</v>
      </c>
      <c r="BA572" t="s">
        <v>67</v>
      </c>
      <c r="BB572" t="s">
        <v>997</v>
      </c>
    </row>
    <row r="573" spans="1:54" x14ac:dyDescent="0.3">
      <c r="A573">
        <v>1</v>
      </c>
      <c r="B573">
        <v>15</v>
      </c>
      <c r="C573" t="s">
        <v>54</v>
      </c>
      <c r="D573" s="3">
        <v>46182.511689814812</v>
      </c>
      <c r="E573" s="8">
        <v>46211</v>
      </c>
      <c r="F573" t="s">
        <v>1954</v>
      </c>
      <c r="G573" t="s">
        <v>56</v>
      </c>
      <c r="H573" t="s">
        <v>298</v>
      </c>
      <c r="I573" t="s">
        <v>1955</v>
      </c>
      <c r="J573" t="s">
        <v>59</v>
      </c>
      <c r="K573" t="s">
        <v>60</v>
      </c>
      <c r="L573" t="s">
        <v>61</v>
      </c>
      <c r="M573" t="s">
        <v>62</v>
      </c>
      <c r="N573" t="s">
        <v>62</v>
      </c>
      <c r="O573" t="s">
        <v>1945</v>
      </c>
      <c r="P573" t="s">
        <v>1946</v>
      </c>
      <c r="Q573" s="5">
        <v>2</v>
      </c>
      <c r="R573" s="6">
        <v>319.64</v>
      </c>
      <c r="S573" s="6">
        <v>639.28</v>
      </c>
      <c r="T573" s="6">
        <v>190.4</v>
      </c>
      <c r="U573" s="3">
        <v>46300.25</v>
      </c>
      <c r="W573" t="s">
        <v>1956</v>
      </c>
      <c r="X573" t="s">
        <v>70</v>
      </c>
      <c r="Y573" t="s">
        <v>68</v>
      </c>
      <c r="Z573" t="s">
        <v>521</v>
      </c>
      <c r="AA573" t="s">
        <v>522</v>
      </c>
      <c r="AB573" t="s">
        <v>67</v>
      </c>
      <c r="AC573" t="s">
        <v>70</v>
      </c>
      <c r="AD573" t="s">
        <v>71</v>
      </c>
      <c r="AE573" t="s">
        <v>185</v>
      </c>
      <c r="AF573" t="s">
        <v>67</v>
      </c>
      <c r="AG573" t="s">
        <v>1947</v>
      </c>
      <c r="AH573" t="b">
        <v>0</v>
      </c>
      <c r="AI573" t="b">
        <v>0</v>
      </c>
      <c r="AJ573" t="b">
        <v>0</v>
      </c>
      <c r="AK573" t="b">
        <v>0</v>
      </c>
      <c r="AL573" s="6">
        <v>95.2</v>
      </c>
      <c r="AM573" s="3">
        <v>46300.25</v>
      </c>
      <c r="AN573">
        <v>1</v>
      </c>
      <c r="AO573" s="3">
        <v>46244.633564814823</v>
      </c>
      <c r="AP573" t="s">
        <v>1957</v>
      </c>
      <c r="AQ573" t="s">
        <v>1958</v>
      </c>
      <c r="AR573" t="s">
        <v>113</v>
      </c>
      <c r="AS573">
        <v>2</v>
      </c>
      <c r="AT573" t="b">
        <v>1</v>
      </c>
      <c r="AU573" t="s">
        <v>285</v>
      </c>
      <c r="AV573" t="b">
        <v>1</v>
      </c>
      <c r="AW573" t="b">
        <v>0</v>
      </c>
      <c r="AX573" s="5">
        <v>0</v>
      </c>
      <c r="AY573" s="3"/>
      <c r="AZ573" t="s">
        <v>67</v>
      </c>
      <c r="BA573" t="s">
        <v>67</v>
      </c>
      <c r="BB573" t="s">
        <v>997</v>
      </c>
    </row>
    <row r="574" spans="1:54" x14ac:dyDescent="0.3">
      <c r="A574">
        <v>1</v>
      </c>
      <c r="B574">
        <v>15</v>
      </c>
      <c r="C574" t="s">
        <v>54</v>
      </c>
      <c r="D574" s="3">
        <v>46182.511689814812</v>
      </c>
      <c r="E574" s="8">
        <v>46211</v>
      </c>
      <c r="F574" t="s">
        <v>1954</v>
      </c>
      <c r="G574" t="s">
        <v>56</v>
      </c>
      <c r="H574" t="s">
        <v>298</v>
      </c>
      <c r="I574" t="s">
        <v>1955</v>
      </c>
      <c r="J574" t="s">
        <v>59</v>
      </c>
      <c r="K574" t="s">
        <v>60</v>
      </c>
      <c r="L574" t="s">
        <v>61</v>
      </c>
      <c r="M574" t="s">
        <v>62</v>
      </c>
      <c r="N574" t="s">
        <v>62</v>
      </c>
      <c r="O574" t="s">
        <v>1971</v>
      </c>
      <c r="P574" t="s">
        <v>1972</v>
      </c>
      <c r="Q574" s="5">
        <v>4</v>
      </c>
      <c r="R574" s="6">
        <v>96.38</v>
      </c>
      <c r="S574" s="6">
        <v>385.52</v>
      </c>
      <c r="T574" s="6">
        <v>113.6</v>
      </c>
      <c r="U574" s="3">
        <v>46300.25</v>
      </c>
      <c r="W574" t="s">
        <v>1956</v>
      </c>
      <c r="X574" t="s">
        <v>70</v>
      </c>
      <c r="Y574" t="s">
        <v>68</v>
      </c>
      <c r="Z574" t="s">
        <v>521</v>
      </c>
      <c r="AA574" t="s">
        <v>522</v>
      </c>
      <c r="AB574" t="s">
        <v>67</v>
      </c>
      <c r="AC574" t="s">
        <v>70</v>
      </c>
      <c r="AD574" t="s">
        <v>71</v>
      </c>
      <c r="AE574" t="s">
        <v>185</v>
      </c>
      <c r="AF574" t="s">
        <v>67</v>
      </c>
      <c r="AG574" t="s">
        <v>1973</v>
      </c>
      <c r="AH574" t="b">
        <v>0</v>
      </c>
      <c r="AI574" t="b">
        <v>0</v>
      </c>
      <c r="AJ574" t="b">
        <v>0</v>
      </c>
      <c r="AK574" t="b">
        <v>0</v>
      </c>
      <c r="AL574" s="6">
        <v>28.4</v>
      </c>
      <c r="AM574" s="3">
        <v>46300.25</v>
      </c>
      <c r="AN574">
        <v>1</v>
      </c>
      <c r="AO574" s="3">
        <v>46244.633564814823</v>
      </c>
      <c r="AP574" t="s">
        <v>1957</v>
      </c>
      <c r="AQ574" t="s">
        <v>1958</v>
      </c>
      <c r="AR574" t="s">
        <v>113</v>
      </c>
      <c r="AS574">
        <v>2</v>
      </c>
      <c r="AT574" t="b">
        <v>1</v>
      </c>
      <c r="AU574" t="s">
        <v>285</v>
      </c>
      <c r="AV574" t="b">
        <v>1</v>
      </c>
      <c r="AW574" t="b">
        <v>0</v>
      </c>
      <c r="AX574" s="5">
        <v>0</v>
      </c>
      <c r="AY574" s="3"/>
      <c r="AZ574" t="s">
        <v>67</v>
      </c>
      <c r="BA574" t="s">
        <v>67</v>
      </c>
      <c r="BB574" t="s">
        <v>997</v>
      </c>
    </row>
    <row r="575" spans="1:54" x14ac:dyDescent="0.3">
      <c r="A575">
        <v>1</v>
      </c>
      <c r="B575">
        <v>15</v>
      </c>
      <c r="C575" t="s">
        <v>54</v>
      </c>
      <c r="D575" s="3">
        <v>46182.511689814812</v>
      </c>
      <c r="E575" s="8">
        <v>46211</v>
      </c>
      <c r="F575" t="s">
        <v>1954</v>
      </c>
      <c r="G575" t="s">
        <v>56</v>
      </c>
      <c r="H575" t="s">
        <v>298</v>
      </c>
      <c r="I575" t="s">
        <v>1955</v>
      </c>
      <c r="J575" t="s">
        <v>59</v>
      </c>
      <c r="K575" t="s">
        <v>60</v>
      </c>
      <c r="L575" t="s">
        <v>61</v>
      </c>
      <c r="M575" t="s">
        <v>62</v>
      </c>
      <c r="N575" t="s">
        <v>62</v>
      </c>
      <c r="O575" t="s">
        <v>1951</v>
      </c>
      <c r="P575" t="s">
        <v>1952</v>
      </c>
      <c r="Q575" s="5">
        <v>4</v>
      </c>
      <c r="R575" s="6">
        <v>84.18</v>
      </c>
      <c r="S575" s="6">
        <v>336.72</v>
      </c>
      <c r="T575" s="6">
        <v>99.2</v>
      </c>
      <c r="U575" s="3">
        <v>46300.25</v>
      </c>
      <c r="W575" t="s">
        <v>1956</v>
      </c>
      <c r="X575" t="s">
        <v>70</v>
      </c>
      <c r="Y575" t="s">
        <v>68</v>
      </c>
      <c r="Z575" t="s">
        <v>521</v>
      </c>
      <c r="AA575" t="s">
        <v>522</v>
      </c>
      <c r="AB575" t="s">
        <v>67</v>
      </c>
      <c r="AC575" t="s">
        <v>70</v>
      </c>
      <c r="AD575" t="s">
        <v>71</v>
      </c>
      <c r="AE575" t="s">
        <v>185</v>
      </c>
      <c r="AF575" t="s">
        <v>67</v>
      </c>
      <c r="AG575" t="s">
        <v>1953</v>
      </c>
      <c r="AH575" t="b">
        <v>0</v>
      </c>
      <c r="AI575" t="b">
        <v>0</v>
      </c>
      <c r="AJ575" t="b">
        <v>0</v>
      </c>
      <c r="AK575" t="b">
        <v>0</v>
      </c>
      <c r="AL575" s="6">
        <v>24.8</v>
      </c>
      <c r="AM575" s="3">
        <v>46300.25</v>
      </c>
      <c r="AN575">
        <v>1</v>
      </c>
      <c r="AO575" s="3">
        <v>46244.633564814823</v>
      </c>
      <c r="AP575" t="s">
        <v>1957</v>
      </c>
      <c r="AQ575" t="s">
        <v>1958</v>
      </c>
      <c r="AR575" t="s">
        <v>113</v>
      </c>
      <c r="AS575">
        <v>2</v>
      </c>
      <c r="AT575" t="b">
        <v>1</v>
      </c>
      <c r="AU575" t="s">
        <v>285</v>
      </c>
      <c r="AV575" t="b">
        <v>1</v>
      </c>
      <c r="AW575" t="b">
        <v>0</v>
      </c>
      <c r="AX575" s="5">
        <v>0</v>
      </c>
      <c r="AY575" s="3"/>
      <c r="AZ575" t="s">
        <v>67</v>
      </c>
      <c r="BA575" t="s">
        <v>67</v>
      </c>
      <c r="BB575" t="s">
        <v>997</v>
      </c>
    </row>
    <row r="576" spans="1:54" x14ac:dyDescent="0.3">
      <c r="A576">
        <v>1</v>
      </c>
      <c r="B576">
        <v>15</v>
      </c>
      <c r="C576" t="s">
        <v>54</v>
      </c>
      <c r="D576" s="3">
        <v>46182.604664351849</v>
      </c>
      <c r="E576" s="8">
        <v>46280</v>
      </c>
      <c r="F576" t="s">
        <v>1974</v>
      </c>
      <c r="G576" t="s">
        <v>56</v>
      </c>
      <c r="H576" t="s">
        <v>1975</v>
      </c>
      <c r="I576" t="s">
        <v>1976</v>
      </c>
      <c r="J576" t="s">
        <v>59</v>
      </c>
      <c r="L576" t="s">
        <v>61</v>
      </c>
      <c r="M576" t="s">
        <v>62</v>
      </c>
      <c r="N576" t="s">
        <v>62</v>
      </c>
      <c r="O576" t="s">
        <v>82</v>
      </c>
      <c r="P576" t="s">
        <v>83</v>
      </c>
      <c r="Q576" s="5">
        <v>1</v>
      </c>
      <c r="R576" s="6">
        <v>140</v>
      </c>
      <c r="S576" s="6">
        <v>140</v>
      </c>
      <c r="T576" s="6">
        <v>93.1</v>
      </c>
      <c r="U576" s="3">
        <v>46280.240277777782</v>
      </c>
      <c r="W576" t="s">
        <v>1977</v>
      </c>
      <c r="X576" t="s">
        <v>67</v>
      </c>
      <c r="Y576" t="s">
        <v>68</v>
      </c>
      <c r="Z576" t="s">
        <v>69</v>
      </c>
      <c r="AA576" t="s">
        <v>69</v>
      </c>
      <c r="AB576" t="s">
        <v>67</v>
      </c>
      <c r="AC576" t="s">
        <v>70</v>
      </c>
      <c r="AD576" t="s">
        <v>71</v>
      </c>
      <c r="AE576" t="s">
        <v>84</v>
      </c>
      <c r="AF576" t="s">
        <v>67</v>
      </c>
      <c r="AG576" t="s">
        <v>82</v>
      </c>
      <c r="AH576" t="b">
        <v>0</v>
      </c>
      <c r="AI576" t="b">
        <v>0</v>
      </c>
      <c r="AJ576" t="b">
        <v>0</v>
      </c>
      <c r="AK576" t="b">
        <v>0</v>
      </c>
      <c r="AL576" s="6">
        <v>93.1</v>
      </c>
      <c r="AM576" s="3">
        <v>46182.25</v>
      </c>
      <c r="AN576">
        <v>1</v>
      </c>
      <c r="AO576" s="3"/>
      <c r="AT576" t="b">
        <v>0</v>
      </c>
      <c r="AU576" t="s">
        <v>74</v>
      </c>
      <c r="AV576" t="b">
        <v>1</v>
      </c>
      <c r="AW576" t="b">
        <v>0</v>
      </c>
      <c r="AX576" s="5">
        <v>0</v>
      </c>
      <c r="AY576" s="3"/>
      <c r="AZ576" t="s">
        <v>67</v>
      </c>
      <c r="BA576" t="s">
        <v>67</v>
      </c>
      <c r="BB576" t="s">
        <v>317</v>
      </c>
    </row>
    <row r="577" spans="1:54" x14ac:dyDescent="0.3">
      <c r="A577">
        <v>1</v>
      </c>
      <c r="B577">
        <v>15</v>
      </c>
      <c r="C577" t="s">
        <v>54</v>
      </c>
      <c r="D577" s="3">
        <v>46182.604664351849</v>
      </c>
      <c r="E577" s="8">
        <v>46280</v>
      </c>
      <c r="F577" t="s">
        <v>1974</v>
      </c>
      <c r="G577" t="s">
        <v>56</v>
      </c>
      <c r="H577" t="s">
        <v>1975</v>
      </c>
      <c r="I577" t="s">
        <v>1976</v>
      </c>
      <c r="J577" t="s">
        <v>59</v>
      </c>
      <c r="L577" t="s">
        <v>61</v>
      </c>
      <c r="M577" t="s">
        <v>62</v>
      </c>
      <c r="N577" t="s">
        <v>62</v>
      </c>
      <c r="O577" t="s">
        <v>1022</v>
      </c>
      <c r="P577" t="s">
        <v>1023</v>
      </c>
      <c r="Q577" s="5">
        <v>1</v>
      </c>
      <c r="R577" s="6">
        <v>192</v>
      </c>
      <c r="S577" s="6">
        <v>192</v>
      </c>
      <c r="T577" s="6">
        <v>127.4</v>
      </c>
      <c r="U577" s="3">
        <v>46280.240277777782</v>
      </c>
      <c r="W577" t="s">
        <v>1977</v>
      </c>
      <c r="X577" t="s">
        <v>67</v>
      </c>
      <c r="Y577" t="s">
        <v>68</v>
      </c>
      <c r="Z577" t="s">
        <v>69</v>
      </c>
      <c r="AA577" t="s">
        <v>69</v>
      </c>
      <c r="AB577" t="s">
        <v>67</v>
      </c>
      <c r="AC577" t="s">
        <v>70</v>
      </c>
      <c r="AD577" t="s">
        <v>71</v>
      </c>
      <c r="AE577" t="s">
        <v>72</v>
      </c>
      <c r="AF577" t="s">
        <v>67</v>
      </c>
      <c r="AG577" t="s">
        <v>1024</v>
      </c>
      <c r="AH577" t="b">
        <v>0</v>
      </c>
      <c r="AI577" t="b">
        <v>0</v>
      </c>
      <c r="AJ577" t="b">
        <v>0</v>
      </c>
      <c r="AK577" t="b">
        <v>0</v>
      </c>
      <c r="AL577" s="6">
        <v>127.4</v>
      </c>
      <c r="AM577" s="3">
        <v>46182.25</v>
      </c>
      <c r="AN577">
        <v>1</v>
      </c>
      <c r="AO577" s="3"/>
      <c r="AT577" t="b">
        <v>0</v>
      </c>
      <c r="AU577" t="s">
        <v>74</v>
      </c>
      <c r="AV577" t="b">
        <v>1</v>
      </c>
      <c r="AW577" t="b">
        <v>0</v>
      </c>
      <c r="AX577" s="5">
        <v>0</v>
      </c>
      <c r="AY577" s="3"/>
      <c r="AZ577" t="s">
        <v>67</v>
      </c>
      <c r="BA577" t="s">
        <v>67</v>
      </c>
      <c r="BB577" t="s">
        <v>317</v>
      </c>
    </row>
    <row r="578" spans="1:54" x14ac:dyDescent="0.3">
      <c r="A578">
        <v>1</v>
      </c>
      <c r="B578">
        <v>15</v>
      </c>
      <c r="C578" t="s">
        <v>54</v>
      </c>
      <c r="D578" s="3">
        <v>46182.604664351849</v>
      </c>
      <c r="E578" s="8">
        <v>46280</v>
      </c>
      <c r="F578" t="s">
        <v>1974</v>
      </c>
      <c r="G578" t="s">
        <v>56</v>
      </c>
      <c r="H578" t="s">
        <v>1975</v>
      </c>
      <c r="I578" t="s">
        <v>1976</v>
      </c>
      <c r="J578" t="s">
        <v>59</v>
      </c>
      <c r="L578" t="s">
        <v>61</v>
      </c>
      <c r="M578" t="s">
        <v>62</v>
      </c>
      <c r="N578" t="s">
        <v>62</v>
      </c>
      <c r="O578" t="s">
        <v>239</v>
      </c>
      <c r="P578" t="s">
        <v>240</v>
      </c>
      <c r="Q578" s="5">
        <v>1</v>
      </c>
      <c r="R578" s="6">
        <v>660</v>
      </c>
      <c r="S578" s="6">
        <v>660</v>
      </c>
      <c r="T578" s="6">
        <v>440</v>
      </c>
      <c r="U578" s="3">
        <v>46280.240277777782</v>
      </c>
      <c r="W578" t="s">
        <v>1977</v>
      </c>
      <c r="X578" t="s">
        <v>67</v>
      </c>
      <c r="Y578" t="s">
        <v>68</v>
      </c>
      <c r="Z578" t="s">
        <v>69</v>
      </c>
      <c r="AA578" t="s">
        <v>69</v>
      </c>
      <c r="AB578" t="s">
        <v>67</v>
      </c>
      <c r="AC578" t="s">
        <v>70</v>
      </c>
      <c r="AD578" t="s">
        <v>71</v>
      </c>
      <c r="AE578" t="s">
        <v>242</v>
      </c>
      <c r="AF578" t="s">
        <v>67</v>
      </c>
      <c r="AG578" t="s">
        <v>243</v>
      </c>
      <c r="AH578" t="b">
        <v>0</v>
      </c>
      <c r="AI578" t="b">
        <v>0</v>
      </c>
      <c r="AJ578" t="b">
        <v>0</v>
      </c>
      <c r="AK578" t="b">
        <v>0</v>
      </c>
      <c r="AL578" s="6">
        <v>440</v>
      </c>
      <c r="AM578" s="3">
        <v>46182.25</v>
      </c>
      <c r="AN578">
        <v>1</v>
      </c>
      <c r="AO578" s="3"/>
      <c r="AT578" t="b">
        <v>0</v>
      </c>
      <c r="AU578" t="s">
        <v>74</v>
      </c>
      <c r="AV578" t="b">
        <v>1</v>
      </c>
      <c r="AW578" t="b">
        <v>0</v>
      </c>
      <c r="AX578" s="5">
        <v>0</v>
      </c>
      <c r="AY578" s="3"/>
      <c r="AZ578" t="s">
        <v>67</v>
      </c>
      <c r="BA578" t="s">
        <v>67</v>
      </c>
      <c r="BB578" t="s">
        <v>317</v>
      </c>
    </row>
    <row r="579" spans="1:54" x14ac:dyDescent="0.3">
      <c r="A579">
        <v>1</v>
      </c>
      <c r="B579">
        <v>15</v>
      </c>
      <c r="C579" t="s">
        <v>54</v>
      </c>
      <c r="D579" s="3">
        <v>46182.642511574071</v>
      </c>
      <c r="E579" s="8">
        <v>46184</v>
      </c>
      <c r="F579" t="s">
        <v>1978</v>
      </c>
      <c r="G579" t="s">
        <v>56</v>
      </c>
      <c r="H579" t="s">
        <v>1979</v>
      </c>
      <c r="I579" t="s">
        <v>1980</v>
      </c>
      <c r="J579" t="s">
        <v>59</v>
      </c>
      <c r="L579" t="s">
        <v>61</v>
      </c>
      <c r="M579" t="s">
        <v>62</v>
      </c>
      <c r="N579" t="s">
        <v>62</v>
      </c>
      <c r="O579" t="s">
        <v>82</v>
      </c>
      <c r="P579" t="s">
        <v>83</v>
      </c>
      <c r="Q579" s="5">
        <v>1</v>
      </c>
      <c r="R579" s="6">
        <v>140</v>
      </c>
      <c r="S579" s="6">
        <v>140</v>
      </c>
      <c r="T579" s="6">
        <v>93.1</v>
      </c>
      <c r="U579" s="3">
        <v>46184.28125</v>
      </c>
      <c r="W579" t="s">
        <v>1981</v>
      </c>
      <c r="X579" t="s">
        <v>70</v>
      </c>
      <c r="Y579" t="s">
        <v>68</v>
      </c>
      <c r="Z579" t="s">
        <v>69</v>
      </c>
      <c r="AA579" t="s">
        <v>69</v>
      </c>
      <c r="AB579" t="s">
        <v>67</v>
      </c>
      <c r="AC579" t="s">
        <v>67</v>
      </c>
      <c r="AD579" t="s">
        <v>71</v>
      </c>
      <c r="AE579" t="s">
        <v>84</v>
      </c>
      <c r="AF579" t="s">
        <v>67</v>
      </c>
      <c r="AG579" t="s">
        <v>82</v>
      </c>
      <c r="AH579" t="b">
        <v>0</v>
      </c>
      <c r="AI579" t="b">
        <v>0</v>
      </c>
      <c r="AJ579" t="b">
        <v>0</v>
      </c>
      <c r="AK579" t="b">
        <v>0</v>
      </c>
      <c r="AL579" s="6">
        <v>93.1</v>
      </c>
      <c r="AM579" s="3">
        <v>46182.458333333343</v>
      </c>
      <c r="AN579">
        <v>1</v>
      </c>
      <c r="AO579" s="3"/>
      <c r="AT579" t="b">
        <v>0</v>
      </c>
      <c r="AU579" t="s">
        <v>74</v>
      </c>
      <c r="AV579" t="b">
        <v>1</v>
      </c>
      <c r="AW579" t="b">
        <v>0</v>
      </c>
      <c r="AX579" s="5">
        <v>0</v>
      </c>
      <c r="AY579" s="3"/>
      <c r="AZ579" t="s">
        <v>67</v>
      </c>
      <c r="BA579" t="s">
        <v>67</v>
      </c>
      <c r="BB579" t="s">
        <v>317</v>
      </c>
    </row>
    <row r="580" spans="1:54" x14ac:dyDescent="0.3">
      <c r="A580">
        <v>1</v>
      </c>
      <c r="B580">
        <v>15</v>
      </c>
      <c r="C580" t="s">
        <v>54</v>
      </c>
      <c r="D580" s="3">
        <v>46182.642511574071</v>
      </c>
      <c r="E580" s="8">
        <v>46184</v>
      </c>
      <c r="F580" t="s">
        <v>1978</v>
      </c>
      <c r="G580" t="s">
        <v>56</v>
      </c>
      <c r="H580" t="s">
        <v>1979</v>
      </c>
      <c r="I580" t="s">
        <v>1980</v>
      </c>
      <c r="J580" t="s">
        <v>59</v>
      </c>
      <c r="L580" t="s">
        <v>61</v>
      </c>
      <c r="M580" t="s">
        <v>62</v>
      </c>
      <c r="N580" t="s">
        <v>62</v>
      </c>
      <c r="O580" t="s">
        <v>1982</v>
      </c>
      <c r="P580" t="s">
        <v>1983</v>
      </c>
      <c r="Q580" s="5">
        <v>1</v>
      </c>
      <c r="R580" s="6">
        <v>140</v>
      </c>
      <c r="S580" s="6">
        <v>140</v>
      </c>
      <c r="T580" s="6">
        <v>87</v>
      </c>
      <c r="U580" s="3">
        <v>46184.28125</v>
      </c>
      <c r="W580" t="s">
        <v>1981</v>
      </c>
      <c r="X580" t="s">
        <v>70</v>
      </c>
      <c r="Y580" t="s">
        <v>23</v>
      </c>
      <c r="Z580" t="s">
        <v>69</v>
      </c>
      <c r="AA580" t="s">
        <v>69</v>
      </c>
      <c r="AB580" t="s">
        <v>67</v>
      </c>
      <c r="AC580" t="s">
        <v>67</v>
      </c>
      <c r="AD580" t="s">
        <v>71</v>
      </c>
      <c r="AE580" t="s">
        <v>102</v>
      </c>
      <c r="AF580" t="s">
        <v>67</v>
      </c>
      <c r="AH580" t="b">
        <v>0</v>
      </c>
      <c r="AI580" t="b">
        <v>0</v>
      </c>
      <c r="AJ580" t="b">
        <v>0</v>
      </c>
      <c r="AK580" t="b">
        <v>0</v>
      </c>
      <c r="AL580" s="6">
        <v>87</v>
      </c>
      <c r="AM580" s="3">
        <v>46182.458333333343</v>
      </c>
      <c r="AN580">
        <v>1</v>
      </c>
      <c r="AO580" s="3"/>
      <c r="AT580" t="b">
        <v>0</v>
      </c>
      <c r="AU580" t="s">
        <v>74</v>
      </c>
      <c r="AV580" t="b">
        <v>1</v>
      </c>
      <c r="AW580" t="b">
        <v>0</v>
      </c>
      <c r="AX580" s="5">
        <v>0</v>
      </c>
      <c r="AY580" s="3"/>
      <c r="AZ580" t="s">
        <v>67</v>
      </c>
      <c r="BA580" t="s">
        <v>67</v>
      </c>
      <c r="BB580" t="s">
        <v>317</v>
      </c>
    </row>
    <row r="581" spans="1:54" x14ac:dyDescent="0.3">
      <c r="A581">
        <v>1</v>
      </c>
      <c r="B581">
        <v>15</v>
      </c>
      <c r="C581" t="s">
        <v>54</v>
      </c>
      <c r="D581" s="3">
        <v>46182.642511574071</v>
      </c>
      <c r="E581" s="8">
        <v>46184</v>
      </c>
      <c r="F581" t="s">
        <v>1978</v>
      </c>
      <c r="G581" t="s">
        <v>56</v>
      </c>
      <c r="H581" t="s">
        <v>1979</v>
      </c>
      <c r="I581" t="s">
        <v>1980</v>
      </c>
      <c r="J581" t="s">
        <v>59</v>
      </c>
      <c r="L581" t="s">
        <v>61</v>
      </c>
      <c r="M581" t="s">
        <v>62</v>
      </c>
      <c r="N581" t="s">
        <v>62</v>
      </c>
      <c r="O581" t="s">
        <v>64</v>
      </c>
      <c r="P581" t="s">
        <v>65</v>
      </c>
      <c r="Q581" s="5">
        <v>1</v>
      </c>
      <c r="R581" s="6">
        <v>237</v>
      </c>
      <c r="S581" s="6">
        <v>237</v>
      </c>
      <c r="T581" s="6">
        <v>157.5</v>
      </c>
      <c r="U581" s="3">
        <v>46184.28125</v>
      </c>
      <c r="W581" t="s">
        <v>1981</v>
      </c>
      <c r="X581" t="s">
        <v>70</v>
      </c>
      <c r="Y581" t="s">
        <v>68</v>
      </c>
      <c r="Z581" t="s">
        <v>69</v>
      </c>
      <c r="AA581" t="s">
        <v>69</v>
      </c>
      <c r="AB581" t="s">
        <v>67</v>
      </c>
      <c r="AC581" t="s">
        <v>67</v>
      </c>
      <c r="AD581" t="s">
        <v>71</v>
      </c>
      <c r="AE581" t="s">
        <v>72</v>
      </c>
      <c r="AF581" t="s">
        <v>67</v>
      </c>
      <c r="AG581" t="s">
        <v>73</v>
      </c>
      <c r="AH581" t="b">
        <v>0</v>
      </c>
      <c r="AI581" t="b">
        <v>0</v>
      </c>
      <c r="AJ581" t="b">
        <v>0</v>
      </c>
      <c r="AK581" t="b">
        <v>0</v>
      </c>
      <c r="AL581" s="6">
        <v>157.5</v>
      </c>
      <c r="AM581" s="3">
        <v>46182.458333333343</v>
      </c>
      <c r="AN581">
        <v>1</v>
      </c>
      <c r="AO581" s="3"/>
      <c r="AT581" t="b">
        <v>0</v>
      </c>
      <c r="AU581" t="s">
        <v>74</v>
      </c>
      <c r="AV581" t="b">
        <v>1</v>
      </c>
      <c r="AW581" t="b">
        <v>0</v>
      </c>
      <c r="AX581" s="5">
        <v>0</v>
      </c>
      <c r="AY581" s="3"/>
      <c r="AZ581" t="s">
        <v>67</v>
      </c>
      <c r="BA581" t="s">
        <v>67</v>
      </c>
      <c r="BB581" t="s">
        <v>317</v>
      </c>
    </row>
    <row r="582" spans="1:54" x14ac:dyDescent="0.3">
      <c r="A582">
        <v>1</v>
      </c>
      <c r="B582">
        <v>15</v>
      </c>
      <c r="C582" t="s">
        <v>54</v>
      </c>
      <c r="D582" s="3">
        <v>46182.642511574071</v>
      </c>
      <c r="E582" s="8">
        <v>46184</v>
      </c>
      <c r="F582" t="s">
        <v>1978</v>
      </c>
      <c r="G582" t="s">
        <v>56</v>
      </c>
      <c r="H582" t="s">
        <v>1979</v>
      </c>
      <c r="I582" t="s">
        <v>1980</v>
      </c>
      <c r="J582" t="s">
        <v>59</v>
      </c>
      <c r="L582" t="s">
        <v>61</v>
      </c>
      <c r="M582" t="s">
        <v>62</v>
      </c>
      <c r="N582" t="s">
        <v>62</v>
      </c>
      <c r="O582" t="s">
        <v>1984</v>
      </c>
      <c r="P582" t="s">
        <v>1985</v>
      </c>
      <c r="Q582" s="5">
        <v>1</v>
      </c>
      <c r="R582" s="6">
        <v>129.32</v>
      </c>
      <c r="S582" s="6">
        <v>129.32</v>
      </c>
      <c r="T582" s="6">
        <v>38.4</v>
      </c>
      <c r="U582" s="3">
        <v>46184.28125</v>
      </c>
      <c r="W582" t="s">
        <v>1981</v>
      </c>
      <c r="X582" t="s">
        <v>70</v>
      </c>
      <c r="Y582" t="s">
        <v>68</v>
      </c>
      <c r="Z582" t="s">
        <v>69</v>
      </c>
      <c r="AA582" t="s">
        <v>69</v>
      </c>
      <c r="AB582" t="s">
        <v>67</v>
      </c>
      <c r="AC582" t="s">
        <v>67</v>
      </c>
      <c r="AD582" t="s">
        <v>71</v>
      </c>
      <c r="AE582" t="s">
        <v>185</v>
      </c>
      <c r="AF582" t="s">
        <v>67</v>
      </c>
      <c r="AG582" t="s">
        <v>1986</v>
      </c>
      <c r="AH582" t="b">
        <v>0</v>
      </c>
      <c r="AI582" t="b">
        <v>0</v>
      </c>
      <c r="AJ582" t="b">
        <v>0</v>
      </c>
      <c r="AK582" t="b">
        <v>0</v>
      </c>
      <c r="AL582" s="6">
        <v>38.4</v>
      </c>
      <c r="AM582" s="3">
        <v>46182.458333333343</v>
      </c>
      <c r="AN582">
        <v>1</v>
      </c>
      <c r="AO582" s="3"/>
      <c r="AT582" t="b">
        <v>0</v>
      </c>
      <c r="AU582" t="s">
        <v>74</v>
      </c>
      <c r="AV582" t="b">
        <v>1</v>
      </c>
      <c r="AW582" t="b">
        <v>0</v>
      </c>
      <c r="AX582" s="5">
        <v>0</v>
      </c>
      <c r="AY582" s="3"/>
      <c r="AZ582" t="s">
        <v>67</v>
      </c>
      <c r="BA582" t="s">
        <v>67</v>
      </c>
      <c r="BB582" t="s">
        <v>317</v>
      </c>
    </row>
    <row r="583" spans="1:54" x14ac:dyDescent="0.3">
      <c r="A583">
        <v>1</v>
      </c>
      <c r="B583">
        <v>15</v>
      </c>
      <c r="C583" t="s">
        <v>54</v>
      </c>
      <c r="D583" s="3">
        <v>46182.642511574071</v>
      </c>
      <c r="E583" s="8">
        <v>46184</v>
      </c>
      <c r="F583" t="s">
        <v>1978</v>
      </c>
      <c r="G583" t="s">
        <v>56</v>
      </c>
      <c r="H583" t="s">
        <v>1979</v>
      </c>
      <c r="I583" t="s">
        <v>1980</v>
      </c>
      <c r="J583" t="s">
        <v>59</v>
      </c>
      <c r="L583" t="s">
        <v>61</v>
      </c>
      <c r="M583" t="s">
        <v>62</v>
      </c>
      <c r="N583" t="s">
        <v>62</v>
      </c>
      <c r="O583" t="s">
        <v>1987</v>
      </c>
      <c r="P583" t="s">
        <v>1988</v>
      </c>
      <c r="Q583" s="5">
        <v>1</v>
      </c>
      <c r="R583" s="6">
        <v>630</v>
      </c>
      <c r="S583" s="6">
        <v>630</v>
      </c>
      <c r="T583" s="6">
        <v>218</v>
      </c>
      <c r="U583" s="3">
        <v>46184.28125</v>
      </c>
      <c r="W583" t="s">
        <v>1981</v>
      </c>
      <c r="X583" t="s">
        <v>70</v>
      </c>
      <c r="Y583" t="s">
        <v>68</v>
      </c>
      <c r="Z583" t="s">
        <v>69</v>
      </c>
      <c r="AA583" t="s">
        <v>69</v>
      </c>
      <c r="AB583" t="s">
        <v>67</v>
      </c>
      <c r="AC583" t="s">
        <v>67</v>
      </c>
      <c r="AD583" t="s">
        <v>71</v>
      </c>
      <c r="AE583" t="s">
        <v>185</v>
      </c>
      <c r="AF583" t="s">
        <v>67</v>
      </c>
      <c r="AG583" t="s">
        <v>1989</v>
      </c>
      <c r="AH583" t="b">
        <v>0</v>
      </c>
      <c r="AI583" t="b">
        <v>0</v>
      </c>
      <c r="AJ583" t="b">
        <v>0</v>
      </c>
      <c r="AK583" t="b">
        <v>0</v>
      </c>
      <c r="AL583" s="6">
        <v>218</v>
      </c>
      <c r="AM583" s="3">
        <v>46182.458333333343</v>
      </c>
      <c r="AN583">
        <v>1</v>
      </c>
      <c r="AO583" s="3"/>
      <c r="AT583" t="b">
        <v>0</v>
      </c>
      <c r="AU583" t="s">
        <v>74</v>
      </c>
      <c r="AV583" t="b">
        <v>1</v>
      </c>
      <c r="AW583" t="b">
        <v>0</v>
      </c>
      <c r="AX583" s="5">
        <v>0</v>
      </c>
      <c r="AY583" s="3"/>
      <c r="AZ583" t="s">
        <v>67</v>
      </c>
      <c r="BA583" t="s">
        <v>67</v>
      </c>
      <c r="BB583" t="s">
        <v>317</v>
      </c>
    </row>
    <row r="584" spans="1:54" x14ac:dyDescent="0.3">
      <c r="A584">
        <v>1</v>
      </c>
      <c r="B584">
        <v>15</v>
      </c>
      <c r="C584" t="s">
        <v>54</v>
      </c>
      <c r="D584" s="3">
        <v>46182.652962962973</v>
      </c>
      <c r="E584" s="8">
        <v>46182</v>
      </c>
      <c r="F584" t="s">
        <v>1990</v>
      </c>
      <c r="G584" t="s">
        <v>56</v>
      </c>
      <c r="H584" t="s">
        <v>1991</v>
      </c>
      <c r="I584" t="s">
        <v>1992</v>
      </c>
      <c r="J584" t="s">
        <v>59</v>
      </c>
      <c r="K584" t="s">
        <v>282</v>
      </c>
      <c r="L584" t="s">
        <v>61</v>
      </c>
      <c r="M584" t="s">
        <v>62</v>
      </c>
      <c r="N584" t="s">
        <v>62</v>
      </c>
      <c r="O584" t="s">
        <v>82</v>
      </c>
      <c r="P584" t="s">
        <v>83</v>
      </c>
      <c r="Q584" s="5">
        <v>1</v>
      </c>
      <c r="R584" s="6">
        <v>140</v>
      </c>
      <c r="S584" s="6">
        <v>140</v>
      </c>
      <c r="T584" s="6">
        <v>93.1</v>
      </c>
      <c r="U584" s="3">
        <v>46217.208333333343</v>
      </c>
      <c r="W584" t="s">
        <v>1993</v>
      </c>
      <c r="X584" t="s">
        <v>67</v>
      </c>
      <c r="Y584" t="s">
        <v>68</v>
      </c>
      <c r="Z584" t="s">
        <v>1994</v>
      </c>
      <c r="AA584" t="s">
        <v>1921</v>
      </c>
      <c r="AB584" t="s">
        <v>67</v>
      </c>
      <c r="AC584" t="s">
        <v>70</v>
      </c>
      <c r="AD584" t="s">
        <v>71</v>
      </c>
      <c r="AE584" t="s">
        <v>84</v>
      </c>
      <c r="AF584" t="s">
        <v>67</v>
      </c>
      <c r="AG584" t="s">
        <v>82</v>
      </c>
      <c r="AH584" t="b">
        <v>0</v>
      </c>
      <c r="AI584" t="b">
        <v>0</v>
      </c>
      <c r="AJ584" t="b">
        <v>0</v>
      </c>
      <c r="AK584" t="b">
        <v>0</v>
      </c>
      <c r="AL584" s="6">
        <v>93.1</v>
      </c>
      <c r="AM584" s="3">
        <v>46217.208333333343</v>
      </c>
      <c r="AN584">
        <v>0</v>
      </c>
      <c r="AO584" s="3"/>
      <c r="AT584" t="b">
        <v>0</v>
      </c>
      <c r="AU584" t="s">
        <v>74</v>
      </c>
      <c r="AV584" t="b">
        <v>1</v>
      </c>
      <c r="AW584" t="b">
        <v>0</v>
      </c>
      <c r="AX584" s="5">
        <v>0</v>
      </c>
      <c r="AY584" s="3"/>
      <c r="AZ584" t="s">
        <v>67</v>
      </c>
      <c r="BA584" t="s">
        <v>67</v>
      </c>
      <c r="BB584" t="s">
        <v>317</v>
      </c>
    </row>
    <row r="585" spans="1:54" x14ac:dyDescent="0.3">
      <c r="A585">
        <v>1</v>
      </c>
      <c r="B585">
        <v>15</v>
      </c>
      <c r="C585" t="s">
        <v>54</v>
      </c>
      <c r="D585" s="3">
        <v>46182.652962962973</v>
      </c>
      <c r="E585" s="8">
        <v>46182</v>
      </c>
      <c r="F585" t="s">
        <v>1990</v>
      </c>
      <c r="G585" t="s">
        <v>56</v>
      </c>
      <c r="H585" t="s">
        <v>1991</v>
      </c>
      <c r="I585" t="s">
        <v>1992</v>
      </c>
      <c r="J585" t="s">
        <v>59</v>
      </c>
      <c r="K585" t="s">
        <v>282</v>
      </c>
      <c r="L585" t="s">
        <v>61</v>
      </c>
      <c r="M585" t="s">
        <v>62</v>
      </c>
      <c r="N585" t="s">
        <v>62</v>
      </c>
      <c r="O585" t="s">
        <v>82</v>
      </c>
      <c r="P585" t="s">
        <v>83</v>
      </c>
      <c r="Q585" s="5">
        <v>1</v>
      </c>
      <c r="R585" s="6">
        <v>140</v>
      </c>
      <c r="S585" s="6">
        <v>140</v>
      </c>
      <c r="T585" s="6">
        <v>93.1</v>
      </c>
      <c r="U585" s="3">
        <v>46217.208333333343</v>
      </c>
      <c r="W585" t="s">
        <v>1993</v>
      </c>
      <c r="X585" t="s">
        <v>67</v>
      </c>
      <c r="Y585" t="s">
        <v>68</v>
      </c>
      <c r="Z585" t="s">
        <v>1994</v>
      </c>
      <c r="AA585" t="s">
        <v>1921</v>
      </c>
      <c r="AB585" t="s">
        <v>67</v>
      </c>
      <c r="AC585" t="s">
        <v>70</v>
      </c>
      <c r="AD585" t="s">
        <v>71</v>
      </c>
      <c r="AE585" t="s">
        <v>84</v>
      </c>
      <c r="AF585" t="s">
        <v>67</v>
      </c>
      <c r="AG585" t="s">
        <v>82</v>
      </c>
      <c r="AH585" t="b">
        <v>0</v>
      </c>
      <c r="AI585" t="b">
        <v>0</v>
      </c>
      <c r="AJ585" t="b">
        <v>0</v>
      </c>
      <c r="AK585" t="b">
        <v>0</v>
      </c>
      <c r="AL585" s="6">
        <v>93.1</v>
      </c>
      <c r="AM585" s="3">
        <v>46217.208333333343</v>
      </c>
      <c r="AN585">
        <v>1</v>
      </c>
      <c r="AO585" s="3"/>
      <c r="AT585" t="b">
        <v>0</v>
      </c>
      <c r="AU585" t="s">
        <v>74</v>
      </c>
      <c r="AV585" t="b">
        <v>1</v>
      </c>
      <c r="AW585" t="b">
        <v>0</v>
      </c>
      <c r="AX585" s="5">
        <v>0</v>
      </c>
      <c r="AY585" s="3"/>
      <c r="AZ585" t="s">
        <v>67</v>
      </c>
      <c r="BA585" t="s">
        <v>67</v>
      </c>
      <c r="BB585" t="s">
        <v>317</v>
      </c>
    </row>
    <row r="586" spans="1:54" x14ac:dyDescent="0.3">
      <c r="A586">
        <v>1</v>
      </c>
      <c r="B586">
        <v>15</v>
      </c>
      <c r="C586" t="s">
        <v>54</v>
      </c>
      <c r="D586" s="3">
        <v>46182.652962962973</v>
      </c>
      <c r="E586" s="8">
        <v>46182</v>
      </c>
      <c r="F586" t="s">
        <v>1990</v>
      </c>
      <c r="G586" t="s">
        <v>56</v>
      </c>
      <c r="H586" t="s">
        <v>1991</v>
      </c>
      <c r="I586" t="s">
        <v>1992</v>
      </c>
      <c r="J586" t="s">
        <v>59</v>
      </c>
      <c r="K586" t="s">
        <v>282</v>
      </c>
      <c r="L586" t="s">
        <v>61</v>
      </c>
      <c r="M586" t="s">
        <v>62</v>
      </c>
      <c r="N586" t="s">
        <v>62</v>
      </c>
      <c r="O586" t="s">
        <v>1022</v>
      </c>
      <c r="P586" t="s">
        <v>1023</v>
      </c>
      <c r="Q586" s="5">
        <v>1</v>
      </c>
      <c r="R586" s="6">
        <v>192</v>
      </c>
      <c r="S586" s="6">
        <v>192</v>
      </c>
      <c r="T586" s="6">
        <v>127.4</v>
      </c>
      <c r="U586" s="3">
        <v>46217.208333333343</v>
      </c>
      <c r="W586" t="s">
        <v>1993</v>
      </c>
      <c r="X586" t="s">
        <v>67</v>
      </c>
      <c r="Y586" t="s">
        <v>68</v>
      </c>
      <c r="Z586" t="s">
        <v>1994</v>
      </c>
      <c r="AA586" t="s">
        <v>1921</v>
      </c>
      <c r="AB586" t="s">
        <v>67</v>
      </c>
      <c r="AC586" t="s">
        <v>70</v>
      </c>
      <c r="AD586" t="s">
        <v>71</v>
      </c>
      <c r="AE586" t="s">
        <v>72</v>
      </c>
      <c r="AF586" t="s">
        <v>67</v>
      </c>
      <c r="AG586" t="s">
        <v>1024</v>
      </c>
      <c r="AH586" t="b">
        <v>0</v>
      </c>
      <c r="AI586" t="b">
        <v>0</v>
      </c>
      <c r="AJ586" t="b">
        <v>0</v>
      </c>
      <c r="AK586" t="b">
        <v>0</v>
      </c>
      <c r="AL586" s="6">
        <v>127.4</v>
      </c>
      <c r="AM586" s="3">
        <v>46217.208333333343</v>
      </c>
      <c r="AN586">
        <v>0</v>
      </c>
      <c r="AO586" s="3"/>
      <c r="AT586" t="b">
        <v>0</v>
      </c>
      <c r="AU586" t="s">
        <v>74</v>
      </c>
      <c r="AV586" t="b">
        <v>1</v>
      </c>
      <c r="AW586" t="b">
        <v>0</v>
      </c>
      <c r="AX586" s="5">
        <v>0</v>
      </c>
      <c r="AY586" s="3"/>
      <c r="AZ586" t="s">
        <v>67</v>
      </c>
      <c r="BA586" t="s">
        <v>67</v>
      </c>
      <c r="BB586" t="s">
        <v>317</v>
      </c>
    </row>
    <row r="587" spans="1:54" x14ac:dyDescent="0.3">
      <c r="A587">
        <v>1</v>
      </c>
      <c r="B587">
        <v>15</v>
      </c>
      <c r="C587" t="s">
        <v>54</v>
      </c>
      <c r="D587" s="3">
        <v>46182.652962962973</v>
      </c>
      <c r="E587" s="8">
        <v>46182</v>
      </c>
      <c r="F587" t="s">
        <v>1990</v>
      </c>
      <c r="G587" t="s">
        <v>56</v>
      </c>
      <c r="H587" t="s">
        <v>1991</v>
      </c>
      <c r="I587" t="s">
        <v>1992</v>
      </c>
      <c r="J587" t="s">
        <v>59</v>
      </c>
      <c r="K587" t="s">
        <v>282</v>
      </c>
      <c r="L587" t="s">
        <v>61</v>
      </c>
      <c r="M587" t="s">
        <v>62</v>
      </c>
      <c r="N587" t="s">
        <v>62</v>
      </c>
      <c r="O587" t="s">
        <v>1022</v>
      </c>
      <c r="P587" t="s">
        <v>1023</v>
      </c>
      <c r="Q587" s="5">
        <v>1</v>
      </c>
      <c r="R587" s="6">
        <v>192</v>
      </c>
      <c r="S587" s="6">
        <v>192</v>
      </c>
      <c r="T587" s="6">
        <v>127.4</v>
      </c>
      <c r="U587" s="3">
        <v>46217.208333333343</v>
      </c>
      <c r="W587" t="s">
        <v>1993</v>
      </c>
      <c r="X587" t="s">
        <v>67</v>
      </c>
      <c r="Y587" t="s">
        <v>68</v>
      </c>
      <c r="Z587" t="s">
        <v>1994</v>
      </c>
      <c r="AA587" t="s">
        <v>1921</v>
      </c>
      <c r="AB587" t="s">
        <v>67</v>
      </c>
      <c r="AC587" t="s">
        <v>70</v>
      </c>
      <c r="AD587" t="s">
        <v>71</v>
      </c>
      <c r="AE587" t="s">
        <v>72</v>
      </c>
      <c r="AF587" t="s">
        <v>67</v>
      </c>
      <c r="AG587" t="s">
        <v>1024</v>
      </c>
      <c r="AH587" t="b">
        <v>0</v>
      </c>
      <c r="AI587" t="b">
        <v>0</v>
      </c>
      <c r="AJ587" t="b">
        <v>0</v>
      </c>
      <c r="AK587" t="b">
        <v>0</v>
      </c>
      <c r="AL587" s="6">
        <v>127.4</v>
      </c>
      <c r="AM587" s="3">
        <v>46217.208333333343</v>
      </c>
      <c r="AN587">
        <v>1</v>
      </c>
      <c r="AO587" s="3"/>
      <c r="AT587" t="b">
        <v>0</v>
      </c>
      <c r="AU587" t="s">
        <v>74</v>
      </c>
      <c r="AV587" t="b">
        <v>1</v>
      </c>
      <c r="AW587" t="b">
        <v>0</v>
      </c>
      <c r="AX587" s="5">
        <v>0</v>
      </c>
      <c r="AY587" s="3"/>
      <c r="AZ587" t="s">
        <v>67</v>
      </c>
      <c r="BA587" t="s">
        <v>67</v>
      </c>
      <c r="BB587" t="s">
        <v>317</v>
      </c>
    </row>
    <row r="588" spans="1:54" x14ac:dyDescent="0.3">
      <c r="A588">
        <v>1</v>
      </c>
      <c r="B588">
        <v>15</v>
      </c>
      <c r="C588" t="s">
        <v>54</v>
      </c>
      <c r="D588" s="3">
        <v>46182.652962962973</v>
      </c>
      <c r="E588" s="8">
        <v>46182</v>
      </c>
      <c r="F588" t="s">
        <v>1990</v>
      </c>
      <c r="G588" t="s">
        <v>56</v>
      </c>
      <c r="H588" t="s">
        <v>1991</v>
      </c>
      <c r="I588" t="s">
        <v>1992</v>
      </c>
      <c r="J588" t="s">
        <v>59</v>
      </c>
      <c r="K588" t="s">
        <v>282</v>
      </c>
      <c r="L588" t="s">
        <v>61</v>
      </c>
      <c r="M588" t="s">
        <v>62</v>
      </c>
      <c r="N588" t="s">
        <v>62</v>
      </c>
      <c r="O588" t="s">
        <v>1995</v>
      </c>
      <c r="P588" t="s">
        <v>1790</v>
      </c>
      <c r="Q588" s="5">
        <v>1</v>
      </c>
      <c r="R588" s="6">
        <v>570</v>
      </c>
      <c r="S588" s="6">
        <v>570</v>
      </c>
      <c r="T588" s="6">
        <v>186.8</v>
      </c>
      <c r="U588" s="3">
        <v>46217.208333333343</v>
      </c>
      <c r="W588" t="s">
        <v>1993</v>
      </c>
      <c r="X588" t="s">
        <v>67</v>
      </c>
      <c r="Y588" t="s">
        <v>68</v>
      </c>
      <c r="Z588" t="s">
        <v>1994</v>
      </c>
      <c r="AA588" t="s">
        <v>1921</v>
      </c>
      <c r="AB588" t="s">
        <v>67</v>
      </c>
      <c r="AC588" t="s">
        <v>70</v>
      </c>
      <c r="AD588" t="s">
        <v>71</v>
      </c>
      <c r="AE588" t="s">
        <v>185</v>
      </c>
      <c r="AF588" t="s">
        <v>67</v>
      </c>
      <c r="AG588" t="s">
        <v>1996</v>
      </c>
      <c r="AH588" t="b">
        <v>0</v>
      </c>
      <c r="AI588" t="b">
        <v>0</v>
      </c>
      <c r="AJ588" t="b">
        <v>0</v>
      </c>
      <c r="AK588" t="b">
        <v>0</v>
      </c>
      <c r="AL588" s="6">
        <v>186.8</v>
      </c>
      <c r="AM588" s="3">
        <v>46217.208333333343</v>
      </c>
      <c r="AN588">
        <v>0</v>
      </c>
      <c r="AO588" s="3"/>
      <c r="AT588" t="b">
        <v>0</v>
      </c>
      <c r="AU588" t="s">
        <v>74</v>
      </c>
      <c r="AV588" t="b">
        <v>1</v>
      </c>
      <c r="AW588" t="b">
        <v>0</v>
      </c>
      <c r="AX588" s="5">
        <v>0</v>
      </c>
      <c r="AY588" s="3"/>
      <c r="AZ588" t="s">
        <v>67</v>
      </c>
      <c r="BA588" t="s">
        <v>67</v>
      </c>
      <c r="BB588" t="s">
        <v>317</v>
      </c>
    </row>
    <row r="589" spans="1:54" x14ac:dyDescent="0.3">
      <c r="A589">
        <v>1</v>
      </c>
      <c r="B589">
        <v>15</v>
      </c>
      <c r="C589" t="s">
        <v>54</v>
      </c>
      <c r="D589" s="3">
        <v>46182.652962962973</v>
      </c>
      <c r="E589" s="8">
        <v>46182</v>
      </c>
      <c r="F589" t="s">
        <v>1990</v>
      </c>
      <c r="G589" t="s">
        <v>56</v>
      </c>
      <c r="H589" t="s">
        <v>1991</v>
      </c>
      <c r="I589" t="s">
        <v>1992</v>
      </c>
      <c r="J589" t="s">
        <v>59</v>
      </c>
      <c r="K589" t="s">
        <v>282</v>
      </c>
      <c r="L589" t="s">
        <v>61</v>
      </c>
      <c r="M589" t="s">
        <v>62</v>
      </c>
      <c r="N589" t="s">
        <v>62</v>
      </c>
      <c r="O589" t="s">
        <v>1995</v>
      </c>
      <c r="P589" t="s">
        <v>1790</v>
      </c>
      <c r="Q589" s="5">
        <v>1</v>
      </c>
      <c r="R589" s="6">
        <v>570</v>
      </c>
      <c r="S589" s="6">
        <v>570</v>
      </c>
      <c r="T589" s="6">
        <v>186.8</v>
      </c>
      <c r="U589" s="3">
        <v>46217.208333333343</v>
      </c>
      <c r="W589" t="s">
        <v>1993</v>
      </c>
      <c r="X589" t="s">
        <v>67</v>
      </c>
      <c r="Y589" t="s">
        <v>68</v>
      </c>
      <c r="Z589" t="s">
        <v>1994</v>
      </c>
      <c r="AA589" t="s">
        <v>1921</v>
      </c>
      <c r="AB589" t="s">
        <v>67</v>
      </c>
      <c r="AC589" t="s">
        <v>70</v>
      </c>
      <c r="AD589" t="s">
        <v>71</v>
      </c>
      <c r="AE589" t="s">
        <v>185</v>
      </c>
      <c r="AF589" t="s">
        <v>67</v>
      </c>
      <c r="AG589" t="s">
        <v>1996</v>
      </c>
      <c r="AH589" t="b">
        <v>0</v>
      </c>
      <c r="AI589" t="b">
        <v>0</v>
      </c>
      <c r="AJ589" t="b">
        <v>0</v>
      </c>
      <c r="AK589" t="b">
        <v>0</v>
      </c>
      <c r="AL589" s="6">
        <v>186.8</v>
      </c>
      <c r="AM589" s="3">
        <v>46217.208333333343</v>
      </c>
      <c r="AN589">
        <v>1</v>
      </c>
      <c r="AO589" s="3"/>
      <c r="AT589" t="b">
        <v>0</v>
      </c>
      <c r="AU589" t="s">
        <v>74</v>
      </c>
      <c r="AV589" t="b">
        <v>1</v>
      </c>
      <c r="AW589" t="b">
        <v>0</v>
      </c>
      <c r="AX589" s="5">
        <v>0</v>
      </c>
      <c r="AY589" s="3"/>
      <c r="AZ589" t="s">
        <v>67</v>
      </c>
      <c r="BA589" t="s">
        <v>67</v>
      </c>
      <c r="BB589" t="s">
        <v>317</v>
      </c>
    </row>
    <row r="590" spans="1:54" x14ac:dyDescent="0.3">
      <c r="A590">
        <v>1</v>
      </c>
      <c r="B590">
        <v>15</v>
      </c>
      <c r="C590" t="s">
        <v>54</v>
      </c>
      <c r="D590" s="3">
        <v>46182.673194444447</v>
      </c>
      <c r="E590" s="8">
        <v>46182</v>
      </c>
      <c r="F590" t="s">
        <v>1997</v>
      </c>
      <c r="G590" t="s">
        <v>56</v>
      </c>
      <c r="H590" t="s">
        <v>1238</v>
      </c>
      <c r="I590" t="s">
        <v>1239</v>
      </c>
      <c r="J590" t="s">
        <v>59</v>
      </c>
      <c r="K590" t="s">
        <v>634</v>
      </c>
      <c r="L590" t="s">
        <v>61</v>
      </c>
      <c r="M590" t="s">
        <v>62</v>
      </c>
      <c r="N590" t="s">
        <v>62</v>
      </c>
      <c r="O590" t="s">
        <v>82</v>
      </c>
      <c r="P590" t="s">
        <v>83</v>
      </c>
      <c r="Q590" s="5">
        <v>1</v>
      </c>
      <c r="R590" s="6">
        <v>140</v>
      </c>
      <c r="S590" s="6">
        <v>140</v>
      </c>
      <c r="T590" s="6">
        <v>93.1</v>
      </c>
      <c r="U590" s="3">
        <v>46267.479166666657</v>
      </c>
      <c r="W590" t="s">
        <v>1240</v>
      </c>
      <c r="X590" t="s">
        <v>70</v>
      </c>
      <c r="Y590" t="s">
        <v>68</v>
      </c>
      <c r="Z590" t="s">
        <v>69</v>
      </c>
      <c r="AA590" t="s">
        <v>69</v>
      </c>
      <c r="AB590" t="s">
        <v>67</v>
      </c>
      <c r="AC590" t="s">
        <v>70</v>
      </c>
      <c r="AD590" t="s">
        <v>71</v>
      </c>
      <c r="AE590" t="s">
        <v>84</v>
      </c>
      <c r="AF590" t="s">
        <v>67</v>
      </c>
      <c r="AG590" t="s">
        <v>82</v>
      </c>
      <c r="AH590" t="b">
        <v>0</v>
      </c>
      <c r="AI590" t="b">
        <v>0</v>
      </c>
      <c r="AJ590" t="b">
        <v>0</v>
      </c>
      <c r="AK590" t="b">
        <v>0</v>
      </c>
      <c r="AL590" s="6">
        <v>93.1</v>
      </c>
      <c r="AM590" s="3">
        <v>46182.458333333343</v>
      </c>
      <c r="AN590">
        <v>1</v>
      </c>
      <c r="AO590" s="3"/>
      <c r="AT590" t="b">
        <v>0</v>
      </c>
      <c r="AU590" t="s">
        <v>74</v>
      </c>
      <c r="AV590" t="b">
        <v>1</v>
      </c>
      <c r="AW590" t="b">
        <v>0</v>
      </c>
      <c r="AX590" s="5">
        <v>0</v>
      </c>
      <c r="AY590" s="3"/>
      <c r="AZ590" t="s">
        <v>67</v>
      </c>
      <c r="BA590" t="s">
        <v>67</v>
      </c>
      <c r="BB590" t="s">
        <v>317</v>
      </c>
    </row>
    <row r="591" spans="1:54" x14ac:dyDescent="0.3">
      <c r="A591">
        <v>1</v>
      </c>
      <c r="B591">
        <v>15</v>
      </c>
      <c r="C591" t="s">
        <v>54</v>
      </c>
      <c r="D591" s="3">
        <v>46182.673194444447</v>
      </c>
      <c r="E591" s="8">
        <v>46182</v>
      </c>
      <c r="F591" t="s">
        <v>1997</v>
      </c>
      <c r="G591" t="s">
        <v>56</v>
      </c>
      <c r="H591" t="s">
        <v>1238</v>
      </c>
      <c r="I591" t="s">
        <v>1239</v>
      </c>
      <c r="J591" t="s">
        <v>59</v>
      </c>
      <c r="K591" t="s">
        <v>634</v>
      </c>
      <c r="L591" t="s">
        <v>61</v>
      </c>
      <c r="M591" t="s">
        <v>62</v>
      </c>
      <c r="N591" t="s">
        <v>62</v>
      </c>
      <c r="O591" t="s">
        <v>1982</v>
      </c>
      <c r="P591" t="s">
        <v>1983</v>
      </c>
      <c r="Q591" s="5">
        <v>1</v>
      </c>
      <c r="R591" s="6">
        <v>140</v>
      </c>
      <c r="S591" s="6">
        <v>140</v>
      </c>
      <c r="T591" s="6">
        <v>87</v>
      </c>
      <c r="U591" s="3">
        <v>46267.479166666657</v>
      </c>
      <c r="W591" t="s">
        <v>1240</v>
      </c>
      <c r="X591" t="s">
        <v>70</v>
      </c>
      <c r="Y591" t="s">
        <v>23</v>
      </c>
      <c r="Z591" t="s">
        <v>69</v>
      </c>
      <c r="AA591" t="s">
        <v>69</v>
      </c>
      <c r="AB591" t="s">
        <v>67</v>
      </c>
      <c r="AC591" t="s">
        <v>70</v>
      </c>
      <c r="AD591" t="s">
        <v>71</v>
      </c>
      <c r="AE591" t="s">
        <v>102</v>
      </c>
      <c r="AF591" t="s">
        <v>67</v>
      </c>
      <c r="AH591" t="b">
        <v>0</v>
      </c>
      <c r="AI591" t="b">
        <v>0</v>
      </c>
      <c r="AJ591" t="b">
        <v>0</v>
      </c>
      <c r="AK591" t="b">
        <v>0</v>
      </c>
      <c r="AL591" s="6">
        <v>87</v>
      </c>
      <c r="AM591" s="3">
        <v>46182.458333333343</v>
      </c>
      <c r="AN591">
        <v>1</v>
      </c>
      <c r="AO591" s="3"/>
      <c r="AT591" t="b">
        <v>0</v>
      </c>
      <c r="AU591" t="s">
        <v>74</v>
      </c>
      <c r="AV591" t="b">
        <v>1</v>
      </c>
      <c r="AW591" t="b">
        <v>0</v>
      </c>
      <c r="AX591" s="5">
        <v>0</v>
      </c>
      <c r="AY591" s="3"/>
      <c r="AZ591" t="s">
        <v>67</v>
      </c>
      <c r="BA591" t="s">
        <v>67</v>
      </c>
      <c r="BB591" t="s">
        <v>317</v>
      </c>
    </row>
    <row r="592" spans="1:54" x14ac:dyDescent="0.3">
      <c r="A592">
        <v>1</v>
      </c>
      <c r="B592">
        <v>15</v>
      </c>
      <c r="C592" t="s">
        <v>54</v>
      </c>
      <c r="D592" s="3">
        <v>46182.673194444447</v>
      </c>
      <c r="E592" s="8">
        <v>46182</v>
      </c>
      <c r="F592" t="s">
        <v>1997</v>
      </c>
      <c r="G592" t="s">
        <v>56</v>
      </c>
      <c r="H592" t="s">
        <v>1238</v>
      </c>
      <c r="I592" t="s">
        <v>1239</v>
      </c>
      <c r="J592" t="s">
        <v>59</v>
      </c>
      <c r="K592" t="s">
        <v>634</v>
      </c>
      <c r="L592" t="s">
        <v>61</v>
      </c>
      <c r="M592" t="s">
        <v>62</v>
      </c>
      <c r="N592" t="s">
        <v>62</v>
      </c>
      <c r="O592" t="s">
        <v>64</v>
      </c>
      <c r="P592" t="s">
        <v>65</v>
      </c>
      <c r="Q592" s="5">
        <v>1</v>
      </c>
      <c r="R592" s="6">
        <v>237</v>
      </c>
      <c r="S592" s="6">
        <v>237</v>
      </c>
      <c r="T592" s="6">
        <v>157.5</v>
      </c>
      <c r="U592" s="3">
        <v>46267.479166666657</v>
      </c>
      <c r="W592" t="s">
        <v>1240</v>
      </c>
      <c r="X592" t="s">
        <v>70</v>
      </c>
      <c r="Y592" t="s">
        <v>68</v>
      </c>
      <c r="Z592" t="s">
        <v>69</v>
      </c>
      <c r="AA592" t="s">
        <v>69</v>
      </c>
      <c r="AB592" t="s">
        <v>67</v>
      </c>
      <c r="AC592" t="s">
        <v>70</v>
      </c>
      <c r="AD592" t="s">
        <v>71</v>
      </c>
      <c r="AE592" t="s">
        <v>72</v>
      </c>
      <c r="AF592" t="s">
        <v>67</v>
      </c>
      <c r="AG592" t="s">
        <v>73</v>
      </c>
      <c r="AH592" t="b">
        <v>0</v>
      </c>
      <c r="AI592" t="b">
        <v>0</v>
      </c>
      <c r="AJ592" t="b">
        <v>0</v>
      </c>
      <c r="AK592" t="b">
        <v>0</v>
      </c>
      <c r="AL592" s="6">
        <v>157.5</v>
      </c>
      <c r="AM592" s="3">
        <v>46182.458333333343</v>
      </c>
      <c r="AN592">
        <v>1</v>
      </c>
      <c r="AO592" s="3"/>
      <c r="AT592" t="b">
        <v>0</v>
      </c>
      <c r="AU592" t="s">
        <v>74</v>
      </c>
      <c r="AV592" t="b">
        <v>1</v>
      </c>
      <c r="AW592" t="b">
        <v>0</v>
      </c>
      <c r="AX592" s="5">
        <v>0</v>
      </c>
      <c r="AY592" s="3"/>
      <c r="AZ592" t="s">
        <v>67</v>
      </c>
      <c r="BA592" t="s">
        <v>67</v>
      </c>
      <c r="BB592" t="s">
        <v>317</v>
      </c>
    </row>
    <row r="593" spans="1:54" x14ac:dyDescent="0.3">
      <c r="A593">
        <v>1</v>
      </c>
      <c r="B593">
        <v>15</v>
      </c>
      <c r="C593" t="s">
        <v>54</v>
      </c>
      <c r="D593" s="3">
        <v>46182.673194444447</v>
      </c>
      <c r="E593" s="8">
        <v>46182</v>
      </c>
      <c r="F593" t="s">
        <v>1997</v>
      </c>
      <c r="G593" t="s">
        <v>56</v>
      </c>
      <c r="H593" t="s">
        <v>1238</v>
      </c>
      <c r="I593" t="s">
        <v>1239</v>
      </c>
      <c r="J593" t="s">
        <v>59</v>
      </c>
      <c r="K593" t="s">
        <v>634</v>
      </c>
      <c r="L593" t="s">
        <v>61</v>
      </c>
      <c r="M593" t="s">
        <v>62</v>
      </c>
      <c r="N593" t="s">
        <v>62</v>
      </c>
      <c r="O593" t="s">
        <v>1998</v>
      </c>
      <c r="P593" t="s">
        <v>1999</v>
      </c>
      <c r="Q593" s="5">
        <v>1</v>
      </c>
      <c r="R593" s="6">
        <v>129.32</v>
      </c>
      <c r="S593" s="6">
        <v>129.32</v>
      </c>
      <c r="T593" s="6">
        <v>38.4</v>
      </c>
      <c r="U593" s="3">
        <v>46267.479166666657</v>
      </c>
      <c r="W593" t="s">
        <v>1240</v>
      </c>
      <c r="X593" t="s">
        <v>70</v>
      </c>
      <c r="Y593" t="s">
        <v>68</v>
      </c>
      <c r="Z593" t="s">
        <v>69</v>
      </c>
      <c r="AA593" t="s">
        <v>69</v>
      </c>
      <c r="AB593" t="s">
        <v>67</v>
      </c>
      <c r="AC593" t="s">
        <v>70</v>
      </c>
      <c r="AD593" t="s">
        <v>71</v>
      </c>
      <c r="AE593" t="s">
        <v>185</v>
      </c>
      <c r="AF593" t="s">
        <v>67</v>
      </c>
      <c r="AG593" t="s">
        <v>2000</v>
      </c>
      <c r="AH593" t="b">
        <v>0</v>
      </c>
      <c r="AI593" t="b">
        <v>0</v>
      </c>
      <c r="AJ593" t="b">
        <v>0</v>
      </c>
      <c r="AK593" t="b">
        <v>0</v>
      </c>
      <c r="AL593" s="6">
        <v>38.4</v>
      </c>
      <c r="AM593" s="3">
        <v>46182.458333333343</v>
      </c>
      <c r="AN593">
        <v>1</v>
      </c>
      <c r="AO593" s="3"/>
      <c r="AT593" t="b">
        <v>0</v>
      </c>
      <c r="AU593" t="s">
        <v>74</v>
      </c>
      <c r="AV593" t="b">
        <v>1</v>
      </c>
      <c r="AW593" t="b">
        <v>0</v>
      </c>
      <c r="AX593" s="5">
        <v>0</v>
      </c>
      <c r="AY593" s="3"/>
      <c r="AZ593" t="s">
        <v>67</v>
      </c>
      <c r="BA593" t="s">
        <v>67</v>
      </c>
      <c r="BB593" t="s">
        <v>317</v>
      </c>
    </row>
    <row r="594" spans="1:54" x14ac:dyDescent="0.3">
      <c r="A594">
        <v>1</v>
      </c>
      <c r="B594">
        <v>15</v>
      </c>
      <c r="C594" t="s">
        <v>54</v>
      </c>
      <c r="D594" s="3">
        <v>46182.673194444447</v>
      </c>
      <c r="E594" s="8">
        <v>46182</v>
      </c>
      <c r="F594" t="s">
        <v>1997</v>
      </c>
      <c r="G594" t="s">
        <v>56</v>
      </c>
      <c r="H594" t="s">
        <v>1238</v>
      </c>
      <c r="I594" t="s">
        <v>1239</v>
      </c>
      <c r="J594" t="s">
        <v>59</v>
      </c>
      <c r="K594" t="s">
        <v>634</v>
      </c>
      <c r="L594" t="s">
        <v>61</v>
      </c>
      <c r="M594" t="s">
        <v>62</v>
      </c>
      <c r="N594" t="s">
        <v>62</v>
      </c>
      <c r="O594" t="s">
        <v>2001</v>
      </c>
      <c r="P594" t="s">
        <v>2002</v>
      </c>
      <c r="Q594" s="5">
        <v>1</v>
      </c>
      <c r="R594" s="6">
        <v>129.32</v>
      </c>
      <c r="S594" s="6">
        <v>129.32</v>
      </c>
      <c r="T594" s="6">
        <v>38.4</v>
      </c>
      <c r="U594" s="3">
        <v>46267.479166666657</v>
      </c>
      <c r="W594" t="s">
        <v>1240</v>
      </c>
      <c r="X594" t="s">
        <v>70</v>
      </c>
      <c r="Y594" t="s">
        <v>68</v>
      </c>
      <c r="Z594" t="s">
        <v>69</v>
      </c>
      <c r="AA594" t="s">
        <v>69</v>
      </c>
      <c r="AB594" t="s">
        <v>67</v>
      </c>
      <c r="AC594" t="s">
        <v>70</v>
      </c>
      <c r="AD594" t="s">
        <v>71</v>
      </c>
      <c r="AE594" t="s">
        <v>185</v>
      </c>
      <c r="AF594" t="s">
        <v>67</v>
      </c>
      <c r="AG594" t="s">
        <v>2003</v>
      </c>
      <c r="AH594" t="b">
        <v>0</v>
      </c>
      <c r="AI594" t="b">
        <v>0</v>
      </c>
      <c r="AJ594" t="b">
        <v>0</v>
      </c>
      <c r="AK594" t="b">
        <v>0</v>
      </c>
      <c r="AL594" s="6">
        <v>38.4</v>
      </c>
      <c r="AM594" s="3">
        <v>46182.458333333343</v>
      </c>
      <c r="AN594">
        <v>1</v>
      </c>
      <c r="AO594" s="3"/>
      <c r="AT594" t="b">
        <v>0</v>
      </c>
      <c r="AU594" t="s">
        <v>74</v>
      </c>
      <c r="AV594" t="b">
        <v>1</v>
      </c>
      <c r="AW594" t="b">
        <v>0</v>
      </c>
      <c r="AX594" s="5">
        <v>0</v>
      </c>
      <c r="AY594" s="3"/>
      <c r="AZ594" t="s">
        <v>67</v>
      </c>
      <c r="BA594" t="s">
        <v>67</v>
      </c>
      <c r="BB594" t="s">
        <v>317</v>
      </c>
    </row>
    <row r="595" spans="1:54" x14ac:dyDescent="0.3">
      <c r="A595">
        <v>1</v>
      </c>
      <c r="B595">
        <v>15</v>
      </c>
      <c r="C595" t="s">
        <v>54</v>
      </c>
      <c r="D595" s="3">
        <v>46182.673194444447</v>
      </c>
      <c r="E595" s="8">
        <v>46182</v>
      </c>
      <c r="F595" t="s">
        <v>1997</v>
      </c>
      <c r="G595" t="s">
        <v>56</v>
      </c>
      <c r="H595" t="s">
        <v>1238</v>
      </c>
      <c r="I595" t="s">
        <v>1239</v>
      </c>
      <c r="J595" t="s">
        <v>59</v>
      </c>
      <c r="K595" t="s">
        <v>634</v>
      </c>
      <c r="L595" t="s">
        <v>61</v>
      </c>
      <c r="M595" t="s">
        <v>62</v>
      </c>
      <c r="N595" t="s">
        <v>62</v>
      </c>
      <c r="O595" t="s">
        <v>969</v>
      </c>
      <c r="P595" t="s">
        <v>970</v>
      </c>
      <c r="Q595" s="5">
        <v>1</v>
      </c>
      <c r="R595" s="6">
        <v>630</v>
      </c>
      <c r="S595" s="6">
        <v>630</v>
      </c>
      <c r="T595" s="6">
        <v>218</v>
      </c>
      <c r="U595" s="3">
        <v>46267.479166666657</v>
      </c>
      <c r="W595" t="s">
        <v>1240</v>
      </c>
      <c r="X595" t="s">
        <v>70</v>
      </c>
      <c r="Y595" t="s">
        <v>68</v>
      </c>
      <c r="Z595" t="s">
        <v>69</v>
      </c>
      <c r="AA595" t="s">
        <v>69</v>
      </c>
      <c r="AB595" t="s">
        <v>67</v>
      </c>
      <c r="AC595" t="s">
        <v>70</v>
      </c>
      <c r="AD595" t="s">
        <v>71</v>
      </c>
      <c r="AE595" t="s">
        <v>185</v>
      </c>
      <c r="AF595" t="s">
        <v>67</v>
      </c>
      <c r="AG595" t="s">
        <v>971</v>
      </c>
      <c r="AH595" t="b">
        <v>0</v>
      </c>
      <c r="AI595" t="b">
        <v>0</v>
      </c>
      <c r="AJ595" t="b">
        <v>0</v>
      </c>
      <c r="AK595" t="b">
        <v>0</v>
      </c>
      <c r="AL595" s="6">
        <v>218</v>
      </c>
      <c r="AM595" s="3">
        <v>46182.458333333343</v>
      </c>
      <c r="AN595">
        <v>1</v>
      </c>
      <c r="AO595" s="3"/>
      <c r="AT595" t="b">
        <v>0</v>
      </c>
      <c r="AU595" t="s">
        <v>74</v>
      </c>
      <c r="AV595" t="b">
        <v>1</v>
      </c>
      <c r="AW595" t="b">
        <v>0</v>
      </c>
      <c r="AX595" s="5">
        <v>0</v>
      </c>
      <c r="AY595" s="3"/>
      <c r="AZ595" t="s">
        <v>67</v>
      </c>
      <c r="BA595" t="s">
        <v>67</v>
      </c>
      <c r="BB595" t="s">
        <v>317</v>
      </c>
    </row>
    <row r="596" spans="1:54" x14ac:dyDescent="0.3">
      <c r="A596">
        <v>1</v>
      </c>
      <c r="B596">
        <v>15</v>
      </c>
      <c r="C596" t="s">
        <v>54</v>
      </c>
      <c r="D596" s="3">
        <v>46182.673194444447</v>
      </c>
      <c r="E596" s="8">
        <v>46182</v>
      </c>
      <c r="F596" t="s">
        <v>1997</v>
      </c>
      <c r="G596" t="s">
        <v>56</v>
      </c>
      <c r="H596" t="s">
        <v>1238</v>
      </c>
      <c r="I596" t="s">
        <v>1239</v>
      </c>
      <c r="J596" t="s">
        <v>59</v>
      </c>
      <c r="K596" t="s">
        <v>634</v>
      </c>
      <c r="L596" t="s">
        <v>61</v>
      </c>
      <c r="M596" t="s">
        <v>62</v>
      </c>
      <c r="N596" t="s">
        <v>62</v>
      </c>
      <c r="O596" t="s">
        <v>2004</v>
      </c>
      <c r="P596" t="s">
        <v>2005</v>
      </c>
      <c r="Q596" s="5">
        <v>1</v>
      </c>
      <c r="R596" s="6">
        <v>630</v>
      </c>
      <c r="S596" s="6">
        <v>630</v>
      </c>
      <c r="T596" s="6">
        <v>218</v>
      </c>
      <c r="U596" s="3">
        <v>46267.479166666657</v>
      </c>
      <c r="W596" t="s">
        <v>1240</v>
      </c>
      <c r="X596" t="s">
        <v>70</v>
      </c>
      <c r="Y596" t="s">
        <v>68</v>
      </c>
      <c r="Z596" t="s">
        <v>69</v>
      </c>
      <c r="AA596" t="s">
        <v>69</v>
      </c>
      <c r="AB596" t="s">
        <v>67</v>
      </c>
      <c r="AC596" t="s">
        <v>70</v>
      </c>
      <c r="AD596" t="s">
        <v>71</v>
      </c>
      <c r="AE596" t="s">
        <v>185</v>
      </c>
      <c r="AF596" t="s">
        <v>67</v>
      </c>
      <c r="AG596" t="s">
        <v>2006</v>
      </c>
      <c r="AH596" t="b">
        <v>0</v>
      </c>
      <c r="AI596" t="b">
        <v>0</v>
      </c>
      <c r="AJ596" t="b">
        <v>0</v>
      </c>
      <c r="AK596" t="b">
        <v>0</v>
      </c>
      <c r="AL596" s="6">
        <v>218</v>
      </c>
      <c r="AM596" s="3">
        <v>46182.458333333343</v>
      </c>
      <c r="AN596">
        <v>1</v>
      </c>
      <c r="AO596" s="3"/>
      <c r="AT596" t="b">
        <v>0</v>
      </c>
      <c r="AU596" t="s">
        <v>74</v>
      </c>
      <c r="AV596" t="b">
        <v>1</v>
      </c>
      <c r="AW596" t="b">
        <v>0</v>
      </c>
      <c r="AX596" s="5">
        <v>0</v>
      </c>
      <c r="AY596" s="3"/>
      <c r="AZ596" t="s">
        <v>67</v>
      </c>
      <c r="BA596" t="s">
        <v>67</v>
      </c>
      <c r="BB596" t="s">
        <v>317</v>
      </c>
    </row>
    <row r="597" spans="1:54" x14ac:dyDescent="0.3">
      <c r="A597">
        <v>1</v>
      </c>
      <c r="B597">
        <v>15</v>
      </c>
      <c r="C597" t="s">
        <v>54</v>
      </c>
      <c r="D597" s="3">
        <v>46182.72965277778</v>
      </c>
      <c r="E597" s="8">
        <v>46188</v>
      </c>
      <c r="F597" t="s">
        <v>2007</v>
      </c>
      <c r="G597" t="s">
        <v>56</v>
      </c>
      <c r="H597" t="s">
        <v>2008</v>
      </c>
      <c r="I597" t="s">
        <v>2009</v>
      </c>
      <c r="J597" t="s">
        <v>59</v>
      </c>
      <c r="K597" t="s">
        <v>2010</v>
      </c>
      <c r="L597" t="s">
        <v>61</v>
      </c>
      <c r="M597" t="s">
        <v>62</v>
      </c>
      <c r="N597" t="s">
        <v>62</v>
      </c>
      <c r="O597" t="s">
        <v>82</v>
      </c>
      <c r="P597" t="s">
        <v>83</v>
      </c>
      <c r="Q597" s="5">
        <v>1</v>
      </c>
      <c r="R597" s="6">
        <v>140</v>
      </c>
      <c r="S597" s="6">
        <v>140</v>
      </c>
      <c r="T597" s="6">
        <v>93.1</v>
      </c>
      <c r="U597" s="3">
        <v>46280.25</v>
      </c>
      <c r="W597" t="s">
        <v>2011</v>
      </c>
      <c r="X597" t="s">
        <v>70</v>
      </c>
      <c r="Y597" t="s">
        <v>68</v>
      </c>
      <c r="Z597" t="s">
        <v>69</v>
      </c>
      <c r="AA597" t="s">
        <v>69</v>
      </c>
      <c r="AB597" t="s">
        <v>67</v>
      </c>
      <c r="AC597" t="s">
        <v>67</v>
      </c>
      <c r="AD597" t="s">
        <v>71</v>
      </c>
      <c r="AE597" t="s">
        <v>84</v>
      </c>
      <c r="AF597" t="s">
        <v>67</v>
      </c>
      <c r="AG597" t="s">
        <v>82</v>
      </c>
      <c r="AH597" t="b">
        <v>0</v>
      </c>
      <c r="AI597" t="b">
        <v>0</v>
      </c>
      <c r="AJ597" t="b">
        <v>0</v>
      </c>
      <c r="AK597" t="b">
        <v>0</v>
      </c>
      <c r="AL597" s="6">
        <v>93.1</v>
      </c>
      <c r="AM597" s="3">
        <v>46280.25</v>
      </c>
      <c r="AN597">
        <v>1</v>
      </c>
      <c r="AO597" s="3">
        <v>46246.404664351852</v>
      </c>
      <c r="AP597" t="s">
        <v>112</v>
      </c>
      <c r="AQ597" t="s">
        <v>112</v>
      </c>
      <c r="AR597" t="s">
        <v>113</v>
      </c>
      <c r="AS597">
        <v>2</v>
      </c>
      <c r="AT597" t="b">
        <v>1</v>
      </c>
      <c r="AU597" t="s">
        <v>2012</v>
      </c>
      <c r="AV597" t="b">
        <v>1</v>
      </c>
      <c r="AW597" t="b">
        <v>1</v>
      </c>
      <c r="AX597" s="5">
        <v>0</v>
      </c>
      <c r="AY597" s="3">
        <v>46296.690659722219</v>
      </c>
      <c r="AZ597" t="s">
        <v>67</v>
      </c>
      <c r="BA597" t="s">
        <v>67</v>
      </c>
      <c r="BB597" t="s">
        <v>997</v>
      </c>
    </row>
    <row r="598" spans="1:54" x14ac:dyDescent="0.3">
      <c r="A598">
        <v>1</v>
      </c>
      <c r="B598">
        <v>15</v>
      </c>
      <c r="C598" t="s">
        <v>54</v>
      </c>
      <c r="D598" s="3">
        <v>46182.72965277778</v>
      </c>
      <c r="E598" s="8">
        <v>46188</v>
      </c>
      <c r="F598" t="s">
        <v>2007</v>
      </c>
      <c r="G598" t="s">
        <v>56</v>
      </c>
      <c r="H598" t="s">
        <v>2008</v>
      </c>
      <c r="I598" t="s">
        <v>2009</v>
      </c>
      <c r="J598" t="s">
        <v>59</v>
      </c>
      <c r="K598" t="s">
        <v>2010</v>
      </c>
      <c r="L598" t="s">
        <v>61</v>
      </c>
      <c r="M598" t="s">
        <v>62</v>
      </c>
      <c r="N598" t="s">
        <v>62</v>
      </c>
      <c r="O598" t="s">
        <v>916</v>
      </c>
      <c r="P598" t="s">
        <v>917</v>
      </c>
      <c r="Q598" s="5">
        <v>1</v>
      </c>
      <c r="R598" s="6">
        <v>1141</v>
      </c>
      <c r="S598" s="6">
        <v>1141</v>
      </c>
      <c r="T598" s="6">
        <v>713</v>
      </c>
      <c r="U598" s="3">
        <v>46280.25</v>
      </c>
      <c r="W598" t="s">
        <v>2011</v>
      </c>
      <c r="X598" t="s">
        <v>70</v>
      </c>
      <c r="Y598" t="s">
        <v>23</v>
      </c>
      <c r="Z598" t="s">
        <v>69</v>
      </c>
      <c r="AA598" t="s">
        <v>69</v>
      </c>
      <c r="AB598" t="s">
        <v>67</v>
      </c>
      <c r="AC598" t="s">
        <v>67</v>
      </c>
      <c r="AD598" t="s">
        <v>71</v>
      </c>
      <c r="AF598" t="s">
        <v>67</v>
      </c>
      <c r="AH598" t="b">
        <v>0</v>
      </c>
      <c r="AI598" t="b">
        <v>0</v>
      </c>
      <c r="AJ598" t="b">
        <v>0</v>
      </c>
      <c r="AK598" t="b">
        <v>0</v>
      </c>
      <c r="AL598" s="6">
        <v>713</v>
      </c>
      <c r="AM598" s="3">
        <v>46280.25</v>
      </c>
      <c r="AN598">
        <v>1</v>
      </c>
      <c r="AO598" s="3">
        <v>46246.404664351852</v>
      </c>
      <c r="AP598" t="s">
        <v>112</v>
      </c>
      <c r="AQ598" t="s">
        <v>112</v>
      </c>
      <c r="AR598" t="s">
        <v>113</v>
      </c>
      <c r="AS598">
        <v>2</v>
      </c>
      <c r="AT598" t="b">
        <v>1</v>
      </c>
      <c r="AU598" t="s">
        <v>2012</v>
      </c>
      <c r="AV598" t="b">
        <v>1</v>
      </c>
      <c r="AW598" t="b">
        <v>1</v>
      </c>
      <c r="AX598" s="5">
        <v>0</v>
      </c>
      <c r="AY598" s="3">
        <v>46296.690659722219</v>
      </c>
      <c r="AZ598" t="s">
        <v>67</v>
      </c>
      <c r="BA598" t="s">
        <v>67</v>
      </c>
      <c r="BB598" t="s">
        <v>997</v>
      </c>
    </row>
    <row r="599" spans="1:54" x14ac:dyDescent="0.3">
      <c r="A599">
        <v>1</v>
      </c>
      <c r="B599">
        <v>15</v>
      </c>
      <c r="C599" t="s">
        <v>54</v>
      </c>
      <c r="D599" s="3">
        <v>46182.72965277778</v>
      </c>
      <c r="E599" s="8">
        <v>46188</v>
      </c>
      <c r="F599" t="s">
        <v>2007</v>
      </c>
      <c r="G599" t="s">
        <v>56</v>
      </c>
      <c r="H599" t="s">
        <v>2008</v>
      </c>
      <c r="I599" t="s">
        <v>2009</v>
      </c>
      <c r="J599" t="s">
        <v>59</v>
      </c>
      <c r="K599" t="s">
        <v>2010</v>
      </c>
      <c r="L599" t="s">
        <v>61</v>
      </c>
      <c r="M599" t="s">
        <v>62</v>
      </c>
      <c r="N599" t="s">
        <v>62</v>
      </c>
      <c r="O599" t="s">
        <v>121</v>
      </c>
      <c r="P599" t="s">
        <v>122</v>
      </c>
      <c r="Q599" s="5">
        <v>4</v>
      </c>
      <c r="R599" s="6">
        <v>53</v>
      </c>
      <c r="S599" s="6">
        <v>212</v>
      </c>
      <c r="T599" s="6">
        <v>132</v>
      </c>
      <c r="U599" s="3">
        <v>46280.25</v>
      </c>
      <c r="W599" t="s">
        <v>2011</v>
      </c>
      <c r="X599" t="s">
        <v>70</v>
      </c>
      <c r="Y599" t="s">
        <v>23</v>
      </c>
      <c r="Z599" t="s">
        <v>69</v>
      </c>
      <c r="AA599" t="s">
        <v>69</v>
      </c>
      <c r="AB599" t="s">
        <v>67</v>
      </c>
      <c r="AC599" t="s">
        <v>67</v>
      </c>
      <c r="AD599" t="s">
        <v>71</v>
      </c>
      <c r="AF599" t="s">
        <v>67</v>
      </c>
      <c r="AH599" t="b">
        <v>0</v>
      </c>
      <c r="AI599" t="b">
        <v>0</v>
      </c>
      <c r="AJ599" t="b">
        <v>0</v>
      </c>
      <c r="AK599" t="b">
        <v>0</v>
      </c>
      <c r="AL599" s="6">
        <v>33</v>
      </c>
      <c r="AM599" s="3">
        <v>46280.25</v>
      </c>
      <c r="AN599">
        <v>1</v>
      </c>
      <c r="AO599" s="3">
        <v>46246.404664351852</v>
      </c>
      <c r="AP599" t="s">
        <v>112</v>
      </c>
      <c r="AQ599" t="s">
        <v>112</v>
      </c>
      <c r="AR599" t="s">
        <v>113</v>
      </c>
      <c r="AS599">
        <v>2</v>
      </c>
      <c r="AT599" t="b">
        <v>1</v>
      </c>
      <c r="AU599" t="s">
        <v>2012</v>
      </c>
      <c r="AV599" t="b">
        <v>1</v>
      </c>
      <c r="AW599" t="b">
        <v>1</v>
      </c>
      <c r="AX599" s="5">
        <v>0</v>
      </c>
      <c r="AY599" s="3">
        <v>46296.690659722219</v>
      </c>
      <c r="AZ599" t="s">
        <v>67</v>
      </c>
      <c r="BA599" t="s">
        <v>67</v>
      </c>
      <c r="BB599" t="s">
        <v>997</v>
      </c>
    </row>
    <row r="600" spans="1:54" x14ac:dyDescent="0.3">
      <c r="A600">
        <v>1</v>
      </c>
      <c r="B600">
        <v>15</v>
      </c>
      <c r="C600" t="s">
        <v>54</v>
      </c>
      <c r="D600" s="3">
        <v>46182.72965277778</v>
      </c>
      <c r="E600" s="8">
        <v>46188</v>
      </c>
      <c r="F600" t="s">
        <v>2007</v>
      </c>
      <c r="G600" t="s">
        <v>56</v>
      </c>
      <c r="H600" t="s">
        <v>2008</v>
      </c>
      <c r="I600" t="s">
        <v>2009</v>
      </c>
      <c r="J600" t="s">
        <v>59</v>
      </c>
      <c r="K600" t="s">
        <v>2010</v>
      </c>
      <c r="L600" t="s">
        <v>61</v>
      </c>
      <c r="M600" t="s">
        <v>62</v>
      </c>
      <c r="N600" t="s">
        <v>62</v>
      </c>
      <c r="O600" t="s">
        <v>918</v>
      </c>
      <c r="P600" t="s">
        <v>919</v>
      </c>
      <c r="Q600" s="5">
        <v>4</v>
      </c>
      <c r="R600" s="6">
        <v>87</v>
      </c>
      <c r="S600" s="6">
        <v>348</v>
      </c>
      <c r="T600" s="6">
        <v>216</v>
      </c>
      <c r="U600" s="3">
        <v>46280.25</v>
      </c>
      <c r="W600" t="s">
        <v>2011</v>
      </c>
      <c r="X600" t="s">
        <v>70</v>
      </c>
      <c r="Y600" t="s">
        <v>23</v>
      </c>
      <c r="Z600" t="s">
        <v>69</v>
      </c>
      <c r="AA600" t="s">
        <v>69</v>
      </c>
      <c r="AB600" t="s">
        <v>67</v>
      </c>
      <c r="AC600" t="s">
        <v>67</v>
      </c>
      <c r="AD600" t="s">
        <v>71</v>
      </c>
      <c r="AE600" t="s">
        <v>102</v>
      </c>
      <c r="AF600" t="s">
        <v>67</v>
      </c>
      <c r="AH600" t="b">
        <v>0</v>
      </c>
      <c r="AI600" t="b">
        <v>0</v>
      </c>
      <c r="AJ600" t="b">
        <v>0</v>
      </c>
      <c r="AK600" t="b">
        <v>0</v>
      </c>
      <c r="AL600" s="6">
        <v>54</v>
      </c>
      <c r="AM600" s="3">
        <v>46280.25</v>
      </c>
      <c r="AN600">
        <v>1</v>
      </c>
      <c r="AO600" s="3">
        <v>46246.404664351852</v>
      </c>
      <c r="AP600" t="s">
        <v>112</v>
      </c>
      <c r="AQ600" t="s">
        <v>112</v>
      </c>
      <c r="AR600" t="s">
        <v>113</v>
      </c>
      <c r="AS600">
        <v>2</v>
      </c>
      <c r="AT600" t="b">
        <v>1</v>
      </c>
      <c r="AU600" t="s">
        <v>2012</v>
      </c>
      <c r="AV600" t="b">
        <v>1</v>
      </c>
      <c r="AW600" t="b">
        <v>1</v>
      </c>
      <c r="AX600" s="5">
        <v>0</v>
      </c>
      <c r="AY600" s="3">
        <v>46296.690659722219</v>
      </c>
      <c r="AZ600" t="s">
        <v>67</v>
      </c>
      <c r="BA600" t="s">
        <v>67</v>
      </c>
      <c r="BB600" t="s">
        <v>997</v>
      </c>
    </row>
    <row r="601" spans="1:54" x14ac:dyDescent="0.3">
      <c r="A601">
        <v>1</v>
      </c>
      <c r="B601">
        <v>15</v>
      </c>
      <c r="C601" t="s">
        <v>54</v>
      </c>
      <c r="D601" s="3">
        <v>46182.72965277778</v>
      </c>
      <c r="E601" s="8">
        <v>46188</v>
      </c>
      <c r="F601" t="s">
        <v>2007</v>
      </c>
      <c r="G601" t="s">
        <v>56</v>
      </c>
      <c r="H601" t="s">
        <v>2008</v>
      </c>
      <c r="I601" t="s">
        <v>2009</v>
      </c>
      <c r="J601" t="s">
        <v>59</v>
      </c>
      <c r="K601" t="s">
        <v>2010</v>
      </c>
      <c r="L601" t="s">
        <v>61</v>
      </c>
      <c r="M601" t="s">
        <v>62</v>
      </c>
      <c r="N601" t="s">
        <v>62</v>
      </c>
      <c r="O601" t="s">
        <v>920</v>
      </c>
      <c r="P601" t="s">
        <v>921</v>
      </c>
      <c r="Q601" s="5">
        <v>1</v>
      </c>
      <c r="R601" s="6">
        <v>685</v>
      </c>
      <c r="S601" s="6">
        <v>685</v>
      </c>
      <c r="T601" s="6">
        <v>428</v>
      </c>
      <c r="U601" s="3">
        <v>46280.25</v>
      </c>
      <c r="W601" t="s">
        <v>2011</v>
      </c>
      <c r="X601" t="s">
        <v>70</v>
      </c>
      <c r="Y601" t="s">
        <v>23</v>
      </c>
      <c r="Z601" t="s">
        <v>69</v>
      </c>
      <c r="AA601" t="s">
        <v>69</v>
      </c>
      <c r="AB601" t="s">
        <v>67</v>
      </c>
      <c r="AC601" t="s">
        <v>67</v>
      </c>
      <c r="AD601" t="s">
        <v>71</v>
      </c>
      <c r="AE601" t="s">
        <v>102</v>
      </c>
      <c r="AF601" t="s">
        <v>67</v>
      </c>
      <c r="AH601" t="b">
        <v>0</v>
      </c>
      <c r="AI601" t="b">
        <v>0</v>
      </c>
      <c r="AJ601" t="b">
        <v>0</v>
      </c>
      <c r="AK601" t="b">
        <v>0</v>
      </c>
      <c r="AL601" s="6">
        <v>428</v>
      </c>
      <c r="AM601" s="3">
        <v>46280.25</v>
      </c>
      <c r="AN601">
        <v>1</v>
      </c>
      <c r="AO601" s="3">
        <v>46246.404664351852</v>
      </c>
      <c r="AP601" t="s">
        <v>112</v>
      </c>
      <c r="AQ601" t="s">
        <v>112</v>
      </c>
      <c r="AR601" t="s">
        <v>113</v>
      </c>
      <c r="AS601">
        <v>2</v>
      </c>
      <c r="AT601" t="b">
        <v>1</v>
      </c>
      <c r="AU601" t="s">
        <v>2012</v>
      </c>
      <c r="AV601" t="b">
        <v>1</v>
      </c>
      <c r="AW601" t="b">
        <v>1</v>
      </c>
      <c r="AX601" s="5">
        <v>0</v>
      </c>
      <c r="AY601" s="3">
        <v>46296.690659722219</v>
      </c>
      <c r="AZ601" t="s">
        <v>67</v>
      </c>
      <c r="BA601" t="s">
        <v>67</v>
      </c>
      <c r="BB601" t="s">
        <v>997</v>
      </c>
    </row>
    <row r="602" spans="1:54" x14ac:dyDescent="0.3">
      <c r="A602">
        <v>1</v>
      </c>
      <c r="B602">
        <v>15</v>
      </c>
      <c r="C602" t="s">
        <v>54</v>
      </c>
      <c r="D602" s="3">
        <v>46182.72965277778</v>
      </c>
      <c r="E602" s="8">
        <v>46188</v>
      </c>
      <c r="F602" t="s">
        <v>2007</v>
      </c>
      <c r="G602" t="s">
        <v>56</v>
      </c>
      <c r="H602" t="s">
        <v>2008</v>
      </c>
      <c r="I602" t="s">
        <v>2009</v>
      </c>
      <c r="J602" t="s">
        <v>59</v>
      </c>
      <c r="K602" t="s">
        <v>2010</v>
      </c>
      <c r="L602" t="s">
        <v>61</v>
      </c>
      <c r="M602" t="s">
        <v>62</v>
      </c>
      <c r="N602" t="s">
        <v>62</v>
      </c>
      <c r="O602" t="s">
        <v>903</v>
      </c>
      <c r="P602" t="s">
        <v>904</v>
      </c>
      <c r="Q602" s="5">
        <v>1</v>
      </c>
      <c r="R602" s="6">
        <v>173</v>
      </c>
      <c r="S602" s="6">
        <v>173</v>
      </c>
      <c r="T602" s="6">
        <v>108</v>
      </c>
      <c r="U602" s="3">
        <v>46280.25</v>
      </c>
      <c r="W602" t="s">
        <v>2011</v>
      </c>
      <c r="X602" t="s">
        <v>70</v>
      </c>
      <c r="Y602" t="s">
        <v>23</v>
      </c>
      <c r="Z602" t="s">
        <v>69</v>
      </c>
      <c r="AA602" t="s">
        <v>69</v>
      </c>
      <c r="AB602" t="s">
        <v>67</v>
      </c>
      <c r="AC602" t="s">
        <v>67</v>
      </c>
      <c r="AD602" t="s">
        <v>71</v>
      </c>
      <c r="AE602" t="s">
        <v>102</v>
      </c>
      <c r="AF602" t="s">
        <v>67</v>
      </c>
      <c r="AH602" t="b">
        <v>0</v>
      </c>
      <c r="AI602" t="b">
        <v>0</v>
      </c>
      <c r="AJ602" t="b">
        <v>0</v>
      </c>
      <c r="AK602" t="b">
        <v>0</v>
      </c>
      <c r="AL602" s="6">
        <v>108</v>
      </c>
      <c r="AM602" s="3">
        <v>46280.25</v>
      </c>
      <c r="AN602">
        <v>1</v>
      </c>
      <c r="AO602" s="3">
        <v>46246.404664351852</v>
      </c>
      <c r="AP602" t="s">
        <v>112</v>
      </c>
      <c r="AQ602" t="s">
        <v>112</v>
      </c>
      <c r="AR602" t="s">
        <v>113</v>
      </c>
      <c r="AS602">
        <v>2</v>
      </c>
      <c r="AT602" t="b">
        <v>1</v>
      </c>
      <c r="AU602" t="s">
        <v>2012</v>
      </c>
      <c r="AV602" t="b">
        <v>1</v>
      </c>
      <c r="AW602" t="b">
        <v>1</v>
      </c>
      <c r="AX602" s="5">
        <v>0</v>
      </c>
      <c r="AY602" s="3">
        <v>46296.690659722219</v>
      </c>
      <c r="AZ602" t="s">
        <v>67</v>
      </c>
      <c r="BA602" t="s">
        <v>67</v>
      </c>
      <c r="BB602" t="s">
        <v>997</v>
      </c>
    </row>
    <row r="603" spans="1:54" x14ac:dyDescent="0.3">
      <c r="A603">
        <v>1</v>
      </c>
      <c r="B603">
        <v>15</v>
      </c>
      <c r="C603" t="s">
        <v>54</v>
      </c>
      <c r="D603" s="3">
        <v>46182.72965277778</v>
      </c>
      <c r="E603" s="8">
        <v>46188</v>
      </c>
      <c r="F603" t="s">
        <v>2007</v>
      </c>
      <c r="G603" t="s">
        <v>56</v>
      </c>
      <c r="H603" t="s">
        <v>2008</v>
      </c>
      <c r="I603" t="s">
        <v>2009</v>
      </c>
      <c r="J603" t="s">
        <v>59</v>
      </c>
      <c r="K603" t="s">
        <v>2010</v>
      </c>
      <c r="L603" t="s">
        <v>61</v>
      </c>
      <c r="M603" t="s">
        <v>62</v>
      </c>
      <c r="N603" t="s">
        <v>62</v>
      </c>
      <c r="O603" t="s">
        <v>922</v>
      </c>
      <c r="P603" t="s">
        <v>923</v>
      </c>
      <c r="Q603" s="5">
        <v>1</v>
      </c>
      <c r="R603" s="6">
        <v>1047</v>
      </c>
      <c r="S603" s="6">
        <v>1047</v>
      </c>
      <c r="T603" s="6">
        <v>654</v>
      </c>
      <c r="U603" s="3">
        <v>46280.25</v>
      </c>
      <c r="W603" t="s">
        <v>2011</v>
      </c>
      <c r="X603" t="s">
        <v>70</v>
      </c>
      <c r="Y603" t="s">
        <v>23</v>
      </c>
      <c r="Z603" t="s">
        <v>69</v>
      </c>
      <c r="AA603" t="s">
        <v>69</v>
      </c>
      <c r="AB603" t="s">
        <v>67</v>
      </c>
      <c r="AC603" t="s">
        <v>67</v>
      </c>
      <c r="AD603" t="s">
        <v>71</v>
      </c>
      <c r="AF603" t="s">
        <v>67</v>
      </c>
      <c r="AH603" t="b">
        <v>0</v>
      </c>
      <c r="AI603" t="b">
        <v>0</v>
      </c>
      <c r="AJ603" t="b">
        <v>0</v>
      </c>
      <c r="AK603" t="b">
        <v>0</v>
      </c>
      <c r="AL603" s="6">
        <v>654</v>
      </c>
      <c r="AM603" s="3">
        <v>46280.25</v>
      </c>
      <c r="AN603">
        <v>1</v>
      </c>
      <c r="AO603" s="3">
        <v>46246.404664351852</v>
      </c>
      <c r="AP603" t="s">
        <v>112</v>
      </c>
      <c r="AQ603" t="s">
        <v>112</v>
      </c>
      <c r="AR603" t="s">
        <v>113</v>
      </c>
      <c r="AS603">
        <v>2</v>
      </c>
      <c r="AT603" t="b">
        <v>1</v>
      </c>
      <c r="AU603" t="s">
        <v>2012</v>
      </c>
      <c r="AV603" t="b">
        <v>1</v>
      </c>
      <c r="AW603" t="b">
        <v>1</v>
      </c>
      <c r="AX603" s="5">
        <v>0</v>
      </c>
      <c r="AY603" s="3">
        <v>46296.690659722219</v>
      </c>
      <c r="AZ603" t="s">
        <v>67</v>
      </c>
      <c r="BA603" t="s">
        <v>67</v>
      </c>
      <c r="BB603" t="s">
        <v>997</v>
      </c>
    </row>
    <row r="604" spans="1:54" x14ac:dyDescent="0.3">
      <c r="A604">
        <v>1</v>
      </c>
      <c r="B604">
        <v>15</v>
      </c>
      <c r="C604" t="s">
        <v>54</v>
      </c>
      <c r="D604" s="3">
        <v>46182.72965277778</v>
      </c>
      <c r="E604" s="8">
        <v>46188</v>
      </c>
      <c r="F604" t="s">
        <v>2007</v>
      </c>
      <c r="G604" t="s">
        <v>56</v>
      </c>
      <c r="H604" t="s">
        <v>2008</v>
      </c>
      <c r="I604" t="s">
        <v>2009</v>
      </c>
      <c r="J604" t="s">
        <v>59</v>
      </c>
      <c r="K604" t="s">
        <v>2010</v>
      </c>
      <c r="L604" t="s">
        <v>61</v>
      </c>
      <c r="M604" t="s">
        <v>62</v>
      </c>
      <c r="N604" t="s">
        <v>62</v>
      </c>
      <c r="O604" t="s">
        <v>1936</v>
      </c>
      <c r="P604" t="s">
        <v>1937</v>
      </c>
      <c r="Q604" s="5">
        <v>4</v>
      </c>
      <c r="R604" s="6">
        <v>64.66</v>
      </c>
      <c r="S604" s="6">
        <v>258.64</v>
      </c>
      <c r="T604" s="6">
        <v>76.8</v>
      </c>
      <c r="U604" s="3">
        <v>46280.25</v>
      </c>
      <c r="W604" t="s">
        <v>2011</v>
      </c>
      <c r="X604" t="s">
        <v>70</v>
      </c>
      <c r="Y604" t="s">
        <v>68</v>
      </c>
      <c r="Z604" t="s">
        <v>69</v>
      </c>
      <c r="AA604" t="s">
        <v>69</v>
      </c>
      <c r="AB604" t="s">
        <v>67</v>
      </c>
      <c r="AC604" t="s">
        <v>67</v>
      </c>
      <c r="AD604" t="s">
        <v>71</v>
      </c>
      <c r="AE604" t="s">
        <v>185</v>
      </c>
      <c r="AF604" t="s">
        <v>67</v>
      </c>
      <c r="AG604" t="s">
        <v>1938</v>
      </c>
      <c r="AH604" t="b">
        <v>0</v>
      </c>
      <c r="AI604" t="b">
        <v>0</v>
      </c>
      <c r="AJ604" t="b">
        <v>0</v>
      </c>
      <c r="AK604" t="b">
        <v>0</v>
      </c>
      <c r="AL604" s="6">
        <v>19.2</v>
      </c>
      <c r="AM604" s="3">
        <v>46280.25</v>
      </c>
      <c r="AN604">
        <v>1</v>
      </c>
      <c r="AO604" s="3">
        <v>46246.404664351852</v>
      </c>
      <c r="AP604" t="s">
        <v>112</v>
      </c>
      <c r="AQ604" t="s">
        <v>112</v>
      </c>
      <c r="AR604" t="s">
        <v>113</v>
      </c>
      <c r="AS604">
        <v>2</v>
      </c>
      <c r="AT604" t="b">
        <v>1</v>
      </c>
      <c r="AU604" t="s">
        <v>2012</v>
      </c>
      <c r="AV604" t="b">
        <v>1</v>
      </c>
      <c r="AW604" t="b">
        <v>1</v>
      </c>
      <c r="AX604" s="5">
        <v>0</v>
      </c>
      <c r="AY604" s="3">
        <v>46296.690659722219</v>
      </c>
      <c r="AZ604" t="s">
        <v>67</v>
      </c>
      <c r="BA604" t="s">
        <v>67</v>
      </c>
      <c r="BB604" t="s">
        <v>997</v>
      </c>
    </row>
    <row r="605" spans="1:54" x14ac:dyDescent="0.3">
      <c r="A605">
        <v>1</v>
      </c>
      <c r="B605">
        <v>15</v>
      </c>
      <c r="C605" t="s">
        <v>54</v>
      </c>
      <c r="D605" s="3">
        <v>46182.72965277778</v>
      </c>
      <c r="E605" s="8">
        <v>46188</v>
      </c>
      <c r="F605" t="s">
        <v>2007</v>
      </c>
      <c r="G605" t="s">
        <v>56</v>
      </c>
      <c r="H605" t="s">
        <v>2008</v>
      </c>
      <c r="I605" t="s">
        <v>2009</v>
      </c>
      <c r="J605" t="s">
        <v>59</v>
      </c>
      <c r="K605" t="s">
        <v>2010</v>
      </c>
      <c r="L605" t="s">
        <v>61</v>
      </c>
      <c r="M605" t="s">
        <v>62</v>
      </c>
      <c r="N605" t="s">
        <v>62</v>
      </c>
      <c r="O605" t="s">
        <v>1962</v>
      </c>
      <c r="P605" t="s">
        <v>1963</v>
      </c>
      <c r="Q605" s="5">
        <v>4</v>
      </c>
      <c r="R605" s="6">
        <v>78.08</v>
      </c>
      <c r="S605" s="6">
        <v>312.32</v>
      </c>
      <c r="T605" s="6">
        <v>92.8</v>
      </c>
      <c r="U605" s="3">
        <v>46280.25</v>
      </c>
      <c r="W605" t="s">
        <v>2011</v>
      </c>
      <c r="X605" t="s">
        <v>70</v>
      </c>
      <c r="Y605" t="s">
        <v>68</v>
      </c>
      <c r="Z605" t="s">
        <v>69</v>
      </c>
      <c r="AA605" t="s">
        <v>69</v>
      </c>
      <c r="AB605" t="s">
        <v>67</v>
      </c>
      <c r="AC605" t="s">
        <v>67</v>
      </c>
      <c r="AD605" t="s">
        <v>71</v>
      </c>
      <c r="AE605" t="s">
        <v>185</v>
      </c>
      <c r="AF605" t="s">
        <v>67</v>
      </c>
      <c r="AG605" t="s">
        <v>1964</v>
      </c>
      <c r="AH605" t="b">
        <v>0</v>
      </c>
      <c r="AI605" t="b">
        <v>0</v>
      </c>
      <c r="AJ605" t="b">
        <v>0</v>
      </c>
      <c r="AK605" t="b">
        <v>0</v>
      </c>
      <c r="AL605" s="6">
        <v>23.2</v>
      </c>
      <c r="AM605" s="3">
        <v>46280.25</v>
      </c>
      <c r="AN605">
        <v>1</v>
      </c>
      <c r="AO605" s="3">
        <v>46246.404664351852</v>
      </c>
      <c r="AP605" t="s">
        <v>112</v>
      </c>
      <c r="AQ605" t="s">
        <v>112</v>
      </c>
      <c r="AR605" t="s">
        <v>113</v>
      </c>
      <c r="AS605">
        <v>2</v>
      </c>
      <c r="AT605" t="b">
        <v>1</v>
      </c>
      <c r="AU605" t="s">
        <v>2012</v>
      </c>
      <c r="AV605" t="b">
        <v>1</v>
      </c>
      <c r="AW605" t="b">
        <v>1</v>
      </c>
      <c r="AX605" s="5">
        <v>0</v>
      </c>
      <c r="AY605" s="3">
        <v>46296.690659722219</v>
      </c>
      <c r="AZ605" t="s">
        <v>67</v>
      </c>
      <c r="BA605" t="s">
        <v>67</v>
      </c>
      <c r="BB605" t="s">
        <v>997</v>
      </c>
    </row>
    <row r="606" spans="1:54" x14ac:dyDescent="0.3">
      <c r="A606">
        <v>1</v>
      </c>
      <c r="B606">
        <v>15</v>
      </c>
      <c r="C606" t="s">
        <v>54</v>
      </c>
      <c r="D606" s="3">
        <v>46182.72965277778</v>
      </c>
      <c r="E606" s="8">
        <v>46188</v>
      </c>
      <c r="F606" t="s">
        <v>2007</v>
      </c>
      <c r="G606" t="s">
        <v>56</v>
      </c>
      <c r="H606" t="s">
        <v>2008</v>
      </c>
      <c r="I606" t="s">
        <v>2009</v>
      </c>
      <c r="J606" t="s">
        <v>59</v>
      </c>
      <c r="K606" t="s">
        <v>2010</v>
      </c>
      <c r="L606" t="s">
        <v>61</v>
      </c>
      <c r="M606" t="s">
        <v>62</v>
      </c>
      <c r="N606" t="s">
        <v>62</v>
      </c>
      <c r="O606" t="s">
        <v>2013</v>
      </c>
      <c r="P606" t="s">
        <v>970</v>
      </c>
      <c r="Q606" s="5">
        <v>2</v>
      </c>
      <c r="R606" s="6">
        <v>570</v>
      </c>
      <c r="S606" s="6">
        <v>1140</v>
      </c>
      <c r="T606" s="6">
        <v>373.6</v>
      </c>
      <c r="U606" s="3">
        <v>46280.25</v>
      </c>
      <c r="W606" t="s">
        <v>2011</v>
      </c>
      <c r="X606" t="s">
        <v>70</v>
      </c>
      <c r="Y606" t="s">
        <v>68</v>
      </c>
      <c r="Z606" t="s">
        <v>69</v>
      </c>
      <c r="AA606" t="s">
        <v>69</v>
      </c>
      <c r="AB606" t="s">
        <v>67</v>
      </c>
      <c r="AC606" t="s">
        <v>67</v>
      </c>
      <c r="AD606" t="s">
        <v>71</v>
      </c>
      <c r="AE606" t="s">
        <v>185</v>
      </c>
      <c r="AF606" t="s">
        <v>67</v>
      </c>
      <c r="AG606" t="s">
        <v>2014</v>
      </c>
      <c r="AH606" t="b">
        <v>0</v>
      </c>
      <c r="AI606" t="b">
        <v>0</v>
      </c>
      <c r="AJ606" t="b">
        <v>0</v>
      </c>
      <c r="AK606" t="b">
        <v>0</v>
      </c>
      <c r="AL606" s="6">
        <v>186.8</v>
      </c>
      <c r="AM606" s="3">
        <v>46280.25</v>
      </c>
      <c r="AN606">
        <v>1</v>
      </c>
      <c r="AO606" s="3">
        <v>46246.404664351852</v>
      </c>
      <c r="AP606" t="s">
        <v>112</v>
      </c>
      <c r="AQ606" t="s">
        <v>112</v>
      </c>
      <c r="AR606" t="s">
        <v>113</v>
      </c>
      <c r="AS606">
        <v>2</v>
      </c>
      <c r="AT606" t="b">
        <v>1</v>
      </c>
      <c r="AU606" t="s">
        <v>2012</v>
      </c>
      <c r="AV606" t="b">
        <v>1</v>
      </c>
      <c r="AW606" t="b">
        <v>1</v>
      </c>
      <c r="AX606" s="5">
        <v>0</v>
      </c>
      <c r="AY606" s="3">
        <v>46296.690659722219</v>
      </c>
      <c r="AZ606" t="s">
        <v>67</v>
      </c>
      <c r="BA606" t="s">
        <v>67</v>
      </c>
      <c r="BB606" t="s">
        <v>997</v>
      </c>
    </row>
    <row r="607" spans="1:54" x14ac:dyDescent="0.3">
      <c r="A607">
        <v>1</v>
      </c>
      <c r="B607">
        <v>15</v>
      </c>
      <c r="C607" t="s">
        <v>54</v>
      </c>
      <c r="D607" s="3">
        <v>46182.72965277778</v>
      </c>
      <c r="E607" s="8">
        <v>46188</v>
      </c>
      <c r="F607" t="s">
        <v>2007</v>
      </c>
      <c r="G607" t="s">
        <v>56</v>
      </c>
      <c r="H607" t="s">
        <v>2008</v>
      </c>
      <c r="I607" t="s">
        <v>2009</v>
      </c>
      <c r="J607" t="s">
        <v>59</v>
      </c>
      <c r="K607" t="s">
        <v>2010</v>
      </c>
      <c r="L607" t="s">
        <v>61</v>
      </c>
      <c r="M607" t="s">
        <v>62</v>
      </c>
      <c r="N607" t="s">
        <v>62</v>
      </c>
      <c r="O607" t="s">
        <v>2015</v>
      </c>
      <c r="P607" t="s">
        <v>1988</v>
      </c>
      <c r="Q607" s="5">
        <v>2</v>
      </c>
      <c r="R607" s="6">
        <v>570</v>
      </c>
      <c r="S607" s="6">
        <v>1140</v>
      </c>
      <c r="T607" s="6">
        <v>373.6</v>
      </c>
      <c r="U607" s="3">
        <v>46280.25</v>
      </c>
      <c r="W607" t="s">
        <v>2011</v>
      </c>
      <c r="X607" t="s">
        <v>70</v>
      </c>
      <c r="Y607" t="s">
        <v>68</v>
      </c>
      <c r="Z607" t="s">
        <v>69</v>
      </c>
      <c r="AA607" t="s">
        <v>69</v>
      </c>
      <c r="AB607" t="s">
        <v>67</v>
      </c>
      <c r="AC607" t="s">
        <v>67</v>
      </c>
      <c r="AD607" t="s">
        <v>71</v>
      </c>
      <c r="AE607" t="s">
        <v>185</v>
      </c>
      <c r="AF607" t="s">
        <v>67</v>
      </c>
      <c r="AG607" t="s">
        <v>2016</v>
      </c>
      <c r="AH607" t="b">
        <v>0</v>
      </c>
      <c r="AI607" t="b">
        <v>0</v>
      </c>
      <c r="AJ607" t="b">
        <v>0</v>
      </c>
      <c r="AK607" t="b">
        <v>0</v>
      </c>
      <c r="AL607" s="6">
        <v>186.8</v>
      </c>
      <c r="AM607" s="3">
        <v>46280.25</v>
      </c>
      <c r="AN607">
        <v>1</v>
      </c>
      <c r="AO607" s="3">
        <v>46246.404664351852</v>
      </c>
      <c r="AP607" t="s">
        <v>112</v>
      </c>
      <c r="AQ607" t="s">
        <v>112</v>
      </c>
      <c r="AR607" t="s">
        <v>113</v>
      </c>
      <c r="AS607">
        <v>2</v>
      </c>
      <c r="AT607" t="b">
        <v>1</v>
      </c>
      <c r="AU607" t="s">
        <v>2012</v>
      </c>
      <c r="AV607" t="b">
        <v>1</v>
      </c>
      <c r="AW607" t="b">
        <v>1</v>
      </c>
      <c r="AX607" s="5">
        <v>0</v>
      </c>
      <c r="AY607" s="3">
        <v>46296.690659722219</v>
      </c>
      <c r="AZ607" t="s">
        <v>67</v>
      </c>
      <c r="BA607" t="s">
        <v>67</v>
      </c>
      <c r="BB607" t="s">
        <v>997</v>
      </c>
    </row>
    <row r="608" spans="1:54" x14ac:dyDescent="0.3">
      <c r="A608">
        <v>1</v>
      </c>
      <c r="B608">
        <v>15</v>
      </c>
      <c r="C608" t="s">
        <v>54</v>
      </c>
      <c r="D608" s="3">
        <v>46182.72965277778</v>
      </c>
      <c r="E608" s="8">
        <v>46188</v>
      </c>
      <c r="F608" t="s">
        <v>2007</v>
      </c>
      <c r="G608" t="s">
        <v>56</v>
      </c>
      <c r="H608" t="s">
        <v>2008</v>
      </c>
      <c r="I608" t="s">
        <v>2009</v>
      </c>
      <c r="J608" t="s">
        <v>59</v>
      </c>
      <c r="K608" t="s">
        <v>2010</v>
      </c>
      <c r="L608" t="s">
        <v>61</v>
      </c>
      <c r="M608" t="s">
        <v>62</v>
      </c>
      <c r="N608" t="s">
        <v>62</v>
      </c>
      <c r="O608" t="s">
        <v>1945</v>
      </c>
      <c r="P608" t="s">
        <v>1946</v>
      </c>
      <c r="Q608" s="5">
        <v>4</v>
      </c>
      <c r="R608" s="6">
        <v>319.64</v>
      </c>
      <c r="S608" s="6">
        <v>1278.56</v>
      </c>
      <c r="T608" s="6">
        <v>380.8</v>
      </c>
      <c r="U608" s="3">
        <v>46280.25</v>
      </c>
      <c r="W608" t="s">
        <v>2011</v>
      </c>
      <c r="X608" t="s">
        <v>70</v>
      </c>
      <c r="Y608" t="s">
        <v>68</v>
      </c>
      <c r="Z608" t="s">
        <v>69</v>
      </c>
      <c r="AA608" t="s">
        <v>69</v>
      </c>
      <c r="AB608" t="s">
        <v>67</v>
      </c>
      <c r="AC608" t="s">
        <v>67</v>
      </c>
      <c r="AD608" t="s">
        <v>71</v>
      </c>
      <c r="AE608" t="s">
        <v>185</v>
      </c>
      <c r="AF608" t="s">
        <v>67</v>
      </c>
      <c r="AG608" t="s">
        <v>1947</v>
      </c>
      <c r="AH608" t="b">
        <v>0</v>
      </c>
      <c r="AI608" t="b">
        <v>0</v>
      </c>
      <c r="AJ608" t="b">
        <v>0</v>
      </c>
      <c r="AK608" t="b">
        <v>0</v>
      </c>
      <c r="AL608" s="6">
        <v>95.2</v>
      </c>
      <c r="AM608" s="3">
        <v>46280.25</v>
      </c>
      <c r="AN608">
        <v>1</v>
      </c>
      <c r="AO608" s="3">
        <v>46246.404664351852</v>
      </c>
      <c r="AP608" t="s">
        <v>112</v>
      </c>
      <c r="AQ608" t="s">
        <v>112</v>
      </c>
      <c r="AR608" t="s">
        <v>113</v>
      </c>
      <c r="AS608">
        <v>2</v>
      </c>
      <c r="AT608" t="b">
        <v>1</v>
      </c>
      <c r="AU608" t="s">
        <v>2012</v>
      </c>
      <c r="AV608" t="b">
        <v>1</v>
      </c>
      <c r="AW608" t="b">
        <v>1</v>
      </c>
      <c r="AX608" s="5">
        <v>0</v>
      </c>
      <c r="AY608" s="3">
        <v>46296.690659722219</v>
      </c>
      <c r="AZ608" t="s">
        <v>67</v>
      </c>
      <c r="BA608" t="s">
        <v>67</v>
      </c>
      <c r="BB608" t="s">
        <v>997</v>
      </c>
    </row>
    <row r="609" spans="1:54" x14ac:dyDescent="0.3">
      <c r="A609">
        <v>1</v>
      </c>
      <c r="B609">
        <v>15</v>
      </c>
      <c r="C609" t="s">
        <v>54</v>
      </c>
      <c r="D609" s="3">
        <v>46182.72965277778</v>
      </c>
      <c r="E609" s="8">
        <v>46188</v>
      </c>
      <c r="F609" t="s">
        <v>2007</v>
      </c>
      <c r="G609" t="s">
        <v>56</v>
      </c>
      <c r="H609" t="s">
        <v>2008</v>
      </c>
      <c r="I609" t="s">
        <v>2009</v>
      </c>
      <c r="J609" t="s">
        <v>59</v>
      </c>
      <c r="K609" t="s">
        <v>2010</v>
      </c>
      <c r="L609" t="s">
        <v>61</v>
      </c>
      <c r="M609" t="s">
        <v>62</v>
      </c>
      <c r="N609" t="s">
        <v>62</v>
      </c>
      <c r="O609" t="s">
        <v>1971</v>
      </c>
      <c r="P609" t="s">
        <v>1972</v>
      </c>
      <c r="Q609" s="5">
        <v>4</v>
      </c>
      <c r="R609" s="6">
        <v>96.38</v>
      </c>
      <c r="S609" s="6">
        <v>385.52</v>
      </c>
      <c r="T609" s="6">
        <v>113.6</v>
      </c>
      <c r="U609" s="3">
        <v>46280.25</v>
      </c>
      <c r="W609" t="s">
        <v>2011</v>
      </c>
      <c r="X609" t="s">
        <v>70</v>
      </c>
      <c r="Y609" t="s">
        <v>68</v>
      </c>
      <c r="Z609" t="s">
        <v>69</v>
      </c>
      <c r="AA609" t="s">
        <v>69</v>
      </c>
      <c r="AB609" t="s">
        <v>67</v>
      </c>
      <c r="AC609" t="s">
        <v>67</v>
      </c>
      <c r="AD609" t="s">
        <v>71</v>
      </c>
      <c r="AE609" t="s">
        <v>185</v>
      </c>
      <c r="AF609" t="s">
        <v>67</v>
      </c>
      <c r="AG609" t="s">
        <v>1973</v>
      </c>
      <c r="AH609" t="b">
        <v>0</v>
      </c>
      <c r="AI609" t="b">
        <v>0</v>
      </c>
      <c r="AJ609" t="b">
        <v>0</v>
      </c>
      <c r="AK609" t="b">
        <v>0</v>
      </c>
      <c r="AL609" s="6">
        <v>28.4</v>
      </c>
      <c r="AM609" s="3">
        <v>46280.25</v>
      </c>
      <c r="AN609">
        <v>1</v>
      </c>
      <c r="AO609" s="3">
        <v>46246.404664351852</v>
      </c>
      <c r="AP609" t="s">
        <v>112</v>
      </c>
      <c r="AQ609" t="s">
        <v>112</v>
      </c>
      <c r="AR609" t="s">
        <v>113</v>
      </c>
      <c r="AS609">
        <v>2</v>
      </c>
      <c r="AT609" t="b">
        <v>1</v>
      </c>
      <c r="AU609" t="s">
        <v>2012</v>
      </c>
      <c r="AV609" t="b">
        <v>1</v>
      </c>
      <c r="AW609" t="b">
        <v>1</v>
      </c>
      <c r="AX609" s="5">
        <v>0</v>
      </c>
      <c r="AY609" s="3">
        <v>46296.690659722219</v>
      </c>
      <c r="AZ609" t="s">
        <v>67</v>
      </c>
      <c r="BA609" t="s">
        <v>67</v>
      </c>
      <c r="BB609" t="s">
        <v>997</v>
      </c>
    </row>
    <row r="610" spans="1:54" x14ac:dyDescent="0.3">
      <c r="A610">
        <v>1</v>
      </c>
      <c r="B610">
        <v>15</v>
      </c>
      <c r="C610" t="s">
        <v>54</v>
      </c>
      <c r="D610" s="3">
        <v>46182.72965277778</v>
      </c>
      <c r="E610" s="8">
        <v>46188</v>
      </c>
      <c r="F610" t="s">
        <v>2007</v>
      </c>
      <c r="G610" t="s">
        <v>56</v>
      </c>
      <c r="H610" t="s">
        <v>2008</v>
      </c>
      <c r="I610" t="s">
        <v>2009</v>
      </c>
      <c r="J610" t="s">
        <v>59</v>
      </c>
      <c r="K610" t="s">
        <v>2010</v>
      </c>
      <c r="L610" t="s">
        <v>61</v>
      </c>
      <c r="M610" t="s">
        <v>62</v>
      </c>
      <c r="N610" t="s">
        <v>62</v>
      </c>
      <c r="O610" t="s">
        <v>1951</v>
      </c>
      <c r="P610" t="s">
        <v>1952</v>
      </c>
      <c r="Q610" s="5">
        <v>4</v>
      </c>
      <c r="R610" s="6">
        <v>84.18</v>
      </c>
      <c r="S610" s="6">
        <v>336.72</v>
      </c>
      <c r="T610" s="6">
        <v>99.2</v>
      </c>
      <c r="U610" s="3">
        <v>46280.25</v>
      </c>
      <c r="W610" t="s">
        <v>2011</v>
      </c>
      <c r="X610" t="s">
        <v>70</v>
      </c>
      <c r="Y610" t="s">
        <v>68</v>
      </c>
      <c r="Z610" t="s">
        <v>69</v>
      </c>
      <c r="AA610" t="s">
        <v>69</v>
      </c>
      <c r="AB610" t="s">
        <v>67</v>
      </c>
      <c r="AC610" t="s">
        <v>67</v>
      </c>
      <c r="AD610" t="s">
        <v>71</v>
      </c>
      <c r="AE610" t="s">
        <v>185</v>
      </c>
      <c r="AF610" t="s">
        <v>67</v>
      </c>
      <c r="AG610" t="s">
        <v>1953</v>
      </c>
      <c r="AH610" t="b">
        <v>0</v>
      </c>
      <c r="AI610" t="b">
        <v>0</v>
      </c>
      <c r="AJ610" t="b">
        <v>0</v>
      </c>
      <c r="AK610" t="b">
        <v>0</v>
      </c>
      <c r="AL610" s="6">
        <v>24.8</v>
      </c>
      <c r="AM610" s="3">
        <v>46280.25</v>
      </c>
      <c r="AN610">
        <v>1</v>
      </c>
      <c r="AO610" s="3">
        <v>46246.404664351852</v>
      </c>
      <c r="AP610" t="s">
        <v>112</v>
      </c>
      <c r="AQ610" t="s">
        <v>112</v>
      </c>
      <c r="AR610" t="s">
        <v>113</v>
      </c>
      <c r="AS610">
        <v>2</v>
      </c>
      <c r="AT610" t="b">
        <v>1</v>
      </c>
      <c r="AU610" t="s">
        <v>2012</v>
      </c>
      <c r="AV610" t="b">
        <v>1</v>
      </c>
      <c r="AW610" t="b">
        <v>1</v>
      </c>
      <c r="AX610" s="5">
        <v>0</v>
      </c>
      <c r="AY610" s="3">
        <v>46296.690659722219</v>
      </c>
      <c r="AZ610" t="s">
        <v>67</v>
      </c>
      <c r="BA610" t="s">
        <v>67</v>
      </c>
      <c r="BB610" t="s">
        <v>997</v>
      </c>
    </row>
    <row r="611" spans="1:54" x14ac:dyDescent="0.3">
      <c r="A611">
        <v>1</v>
      </c>
      <c r="B611">
        <v>15</v>
      </c>
      <c r="C611" t="s">
        <v>54</v>
      </c>
      <c r="D611" s="3">
        <v>46185.592048611114</v>
      </c>
      <c r="E611" s="8">
        <v>46255</v>
      </c>
      <c r="F611" t="s">
        <v>2017</v>
      </c>
      <c r="G611" t="s">
        <v>56</v>
      </c>
      <c r="H611" t="s">
        <v>1930</v>
      </c>
      <c r="I611" t="s">
        <v>1931</v>
      </c>
      <c r="J611" t="s">
        <v>59</v>
      </c>
      <c r="M611" t="s">
        <v>62</v>
      </c>
      <c r="N611" t="s">
        <v>63</v>
      </c>
      <c r="O611" t="s">
        <v>752</v>
      </c>
      <c r="P611" t="s">
        <v>753</v>
      </c>
      <c r="Q611" s="5">
        <v>3</v>
      </c>
      <c r="R611" s="6">
        <v>80</v>
      </c>
      <c r="S611" s="6">
        <v>240</v>
      </c>
      <c r="T611" s="6">
        <v>0</v>
      </c>
      <c r="U611" s="3">
        <v>46255.32916666667</v>
      </c>
      <c r="W611" t="s">
        <v>1932</v>
      </c>
      <c r="X611" t="s">
        <v>70</v>
      </c>
      <c r="Y611" t="s">
        <v>23</v>
      </c>
      <c r="Z611" t="s">
        <v>69</v>
      </c>
      <c r="AA611" t="s">
        <v>69</v>
      </c>
      <c r="AB611" t="s">
        <v>67</v>
      </c>
      <c r="AC611" t="s">
        <v>70</v>
      </c>
      <c r="AE611" t="s">
        <v>102</v>
      </c>
      <c r="AF611" t="s">
        <v>67</v>
      </c>
      <c r="AG611" t="s">
        <v>752</v>
      </c>
      <c r="AH611" t="b">
        <v>0</v>
      </c>
      <c r="AI611" t="b">
        <v>1</v>
      </c>
      <c r="AJ611" t="b">
        <v>0</v>
      </c>
      <c r="AK611" t="b">
        <v>0</v>
      </c>
      <c r="AL611" s="6">
        <v>0</v>
      </c>
      <c r="AM611" s="3">
        <v>46245.229166666657</v>
      </c>
      <c r="AN611">
        <v>1</v>
      </c>
      <c r="AO611" s="3"/>
      <c r="AT611" t="b">
        <v>0</v>
      </c>
      <c r="AU611" t="s">
        <v>74</v>
      </c>
      <c r="AV611" t="b">
        <v>1</v>
      </c>
      <c r="AW611" t="b">
        <v>0</v>
      </c>
      <c r="AX611" s="5">
        <v>0</v>
      </c>
      <c r="AY611" s="3"/>
      <c r="AZ611" t="s">
        <v>67</v>
      </c>
      <c r="BA611" t="s">
        <v>67</v>
      </c>
      <c r="BB611" t="s">
        <v>317</v>
      </c>
    </row>
    <row r="612" spans="1:54" x14ac:dyDescent="0.3">
      <c r="A612">
        <v>1</v>
      </c>
      <c r="B612">
        <v>15</v>
      </c>
      <c r="C612" t="s">
        <v>54</v>
      </c>
      <c r="D612" s="3">
        <v>46185.626828703702</v>
      </c>
      <c r="E612" s="8">
        <v>46185</v>
      </c>
      <c r="F612" t="s">
        <v>2018</v>
      </c>
      <c r="G612" t="s">
        <v>56</v>
      </c>
      <c r="H612" t="s">
        <v>2019</v>
      </c>
      <c r="I612" t="s">
        <v>2020</v>
      </c>
      <c r="J612" t="s">
        <v>749</v>
      </c>
      <c r="K612" t="s">
        <v>337</v>
      </c>
      <c r="L612" t="s">
        <v>1071</v>
      </c>
      <c r="M612" t="s">
        <v>97</v>
      </c>
      <c r="O612" t="s">
        <v>1072</v>
      </c>
      <c r="P612" t="s">
        <v>1073</v>
      </c>
      <c r="Q612" s="5">
        <v>1</v>
      </c>
      <c r="R612" s="6">
        <v>727</v>
      </c>
      <c r="S612" s="6">
        <v>727</v>
      </c>
      <c r="T612" s="6">
        <v>454</v>
      </c>
      <c r="U612" s="3">
        <v>46298.208333333343</v>
      </c>
      <c r="W612" t="s">
        <v>2021</v>
      </c>
      <c r="X612" t="s">
        <v>70</v>
      </c>
      <c r="Y612" t="s">
        <v>23</v>
      </c>
      <c r="Z612" t="s">
        <v>69</v>
      </c>
      <c r="AA612" t="s">
        <v>69</v>
      </c>
      <c r="AB612" t="s">
        <v>67</v>
      </c>
      <c r="AC612" t="s">
        <v>70</v>
      </c>
      <c r="AD612" t="s">
        <v>101</v>
      </c>
      <c r="AE612" t="s">
        <v>102</v>
      </c>
      <c r="AF612" t="s">
        <v>67</v>
      </c>
      <c r="AH612" t="b">
        <v>0</v>
      </c>
      <c r="AI612" t="b">
        <v>1</v>
      </c>
      <c r="AJ612" t="b">
        <v>1</v>
      </c>
      <c r="AK612" t="b">
        <v>1</v>
      </c>
      <c r="AL612" s="6">
        <v>454</v>
      </c>
      <c r="AM612" s="3">
        <v>46298.208333333343</v>
      </c>
      <c r="AN612">
        <v>1</v>
      </c>
      <c r="AO612" s="3"/>
      <c r="AT612" t="b">
        <v>0</v>
      </c>
      <c r="AU612" t="s">
        <v>74</v>
      </c>
      <c r="AV612" t="b">
        <v>1</v>
      </c>
      <c r="AW612" t="b">
        <v>0</v>
      </c>
      <c r="AX612" s="5">
        <v>0</v>
      </c>
      <c r="AY612" s="3"/>
      <c r="AZ612" t="s">
        <v>67</v>
      </c>
      <c r="BA612" t="s">
        <v>67</v>
      </c>
      <c r="BB612" t="s">
        <v>317</v>
      </c>
    </row>
    <row r="613" spans="1:54" x14ac:dyDescent="0.3">
      <c r="A613">
        <v>1</v>
      </c>
      <c r="B613">
        <v>15</v>
      </c>
      <c r="C613" t="s">
        <v>54</v>
      </c>
      <c r="D613" s="3">
        <v>46185.626828703702</v>
      </c>
      <c r="E613" s="8">
        <v>46185</v>
      </c>
      <c r="F613" t="s">
        <v>2018</v>
      </c>
      <c r="G613" t="s">
        <v>56</v>
      </c>
      <c r="H613" t="s">
        <v>2019</v>
      </c>
      <c r="I613" t="s">
        <v>2020</v>
      </c>
      <c r="J613" t="s">
        <v>749</v>
      </c>
      <c r="K613" t="s">
        <v>337</v>
      </c>
      <c r="L613" t="s">
        <v>1071</v>
      </c>
      <c r="M613" t="s">
        <v>97</v>
      </c>
      <c r="O613" t="s">
        <v>752</v>
      </c>
      <c r="P613" t="s">
        <v>753</v>
      </c>
      <c r="Q613" s="5">
        <v>1</v>
      </c>
      <c r="R613" s="6">
        <v>80</v>
      </c>
      <c r="S613" s="6">
        <v>80</v>
      </c>
      <c r="T613" s="6">
        <v>0</v>
      </c>
      <c r="U613" s="3">
        <v>46298.208333333343</v>
      </c>
      <c r="W613" t="s">
        <v>2021</v>
      </c>
      <c r="X613" t="s">
        <v>70</v>
      </c>
      <c r="Y613" t="s">
        <v>23</v>
      </c>
      <c r="Z613" t="s">
        <v>69</v>
      </c>
      <c r="AA613" t="s">
        <v>69</v>
      </c>
      <c r="AB613" t="s">
        <v>67</v>
      </c>
      <c r="AC613" t="s">
        <v>70</v>
      </c>
      <c r="AD613" t="s">
        <v>101</v>
      </c>
      <c r="AE613" t="s">
        <v>102</v>
      </c>
      <c r="AF613" t="s">
        <v>67</v>
      </c>
      <c r="AG613" t="s">
        <v>752</v>
      </c>
      <c r="AH613" t="b">
        <v>0</v>
      </c>
      <c r="AI613" t="b">
        <v>1</v>
      </c>
      <c r="AJ613" t="b">
        <v>1</v>
      </c>
      <c r="AK613" t="b">
        <v>1</v>
      </c>
      <c r="AL613" s="6">
        <v>0</v>
      </c>
      <c r="AM613" s="3">
        <v>46298.208333333343</v>
      </c>
      <c r="AN613">
        <v>1</v>
      </c>
      <c r="AO613" s="3"/>
      <c r="AT613" t="b">
        <v>0</v>
      </c>
      <c r="AU613" t="s">
        <v>74</v>
      </c>
      <c r="AV613" t="b">
        <v>1</v>
      </c>
      <c r="AW613" t="b">
        <v>0</v>
      </c>
      <c r="AX613" s="5">
        <v>0</v>
      </c>
      <c r="AY613" s="3"/>
      <c r="AZ613" t="s">
        <v>67</v>
      </c>
      <c r="BA613" t="s">
        <v>67</v>
      </c>
      <c r="BB613" t="s">
        <v>317</v>
      </c>
    </row>
    <row r="614" spans="1:54" x14ac:dyDescent="0.3">
      <c r="A614">
        <v>1</v>
      </c>
      <c r="B614">
        <v>15</v>
      </c>
      <c r="C614" t="s">
        <v>54</v>
      </c>
      <c r="D614" s="3">
        <v>46197.423726851863</v>
      </c>
      <c r="E614" s="8">
        <v>46197</v>
      </c>
      <c r="F614" t="s">
        <v>2022</v>
      </c>
      <c r="G614" t="s">
        <v>56</v>
      </c>
      <c r="H614" t="s">
        <v>2023</v>
      </c>
      <c r="I614" t="s">
        <v>2024</v>
      </c>
      <c r="J614" t="s">
        <v>363</v>
      </c>
      <c r="K614" t="s">
        <v>610</v>
      </c>
      <c r="L614" t="s">
        <v>1279</v>
      </c>
      <c r="M614" t="s">
        <v>366</v>
      </c>
      <c r="N614" t="s">
        <v>366</v>
      </c>
      <c r="O614" t="s">
        <v>1055</v>
      </c>
      <c r="P614" t="s">
        <v>1056</v>
      </c>
      <c r="Q614" s="5">
        <v>1</v>
      </c>
      <c r="R614" s="6">
        <v>25</v>
      </c>
      <c r="S614" s="6">
        <v>25</v>
      </c>
      <c r="T614" s="6">
        <v>9.8800000000000008</v>
      </c>
      <c r="U614" s="3">
        <v>46316.541666666657</v>
      </c>
      <c r="W614" t="s">
        <v>2025</v>
      </c>
      <c r="X614" t="s">
        <v>67</v>
      </c>
      <c r="Y614" t="s">
        <v>68</v>
      </c>
      <c r="Z614" t="s">
        <v>521</v>
      </c>
      <c r="AA614" t="s">
        <v>522</v>
      </c>
      <c r="AB614" t="s">
        <v>67</v>
      </c>
      <c r="AC614" t="s">
        <v>70</v>
      </c>
      <c r="AD614" t="s">
        <v>370</v>
      </c>
      <c r="AE614" t="s">
        <v>371</v>
      </c>
      <c r="AF614" t="s">
        <v>67</v>
      </c>
      <c r="AG614" t="s">
        <v>1055</v>
      </c>
      <c r="AH614" t="b">
        <v>0</v>
      </c>
      <c r="AI614" t="b">
        <v>0</v>
      </c>
      <c r="AJ614" t="b">
        <v>0</v>
      </c>
      <c r="AK614" t="b">
        <v>0</v>
      </c>
      <c r="AL614" s="6">
        <v>9.8800000000000008</v>
      </c>
      <c r="AM614" s="3">
        <v>46316.541666666657</v>
      </c>
      <c r="AN614">
        <v>1</v>
      </c>
      <c r="AO614" s="3"/>
      <c r="AT614" t="b">
        <v>0</v>
      </c>
      <c r="AU614" t="s">
        <v>74</v>
      </c>
      <c r="AV614" t="b">
        <v>1</v>
      </c>
      <c r="AW614" t="b">
        <v>0</v>
      </c>
      <c r="AX614" s="5">
        <v>0</v>
      </c>
      <c r="AY614" s="3"/>
      <c r="AZ614" t="s">
        <v>67</v>
      </c>
      <c r="BA614" t="s">
        <v>67</v>
      </c>
      <c r="BB614" t="s">
        <v>317</v>
      </c>
    </row>
    <row r="615" spans="1:54" x14ac:dyDescent="0.3">
      <c r="A615">
        <v>1</v>
      </c>
      <c r="B615">
        <v>15</v>
      </c>
      <c r="C615" t="s">
        <v>54</v>
      </c>
      <c r="D615" s="3">
        <v>46197.459328703713</v>
      </c>
      <c r="E615" s="8">
        <v>46197</v>
      </c>
      <c r="F615" t="s">
        <v>2026</v>
      </c>
      <c r="G615" t="s">
        <v>56</v>
      </c>
      <c r="H615" t="s">
        <v>2027</v>
      </c>
      <c r="I615" t="s">
        <v>2028</v>
      </c>
      <c r="J615" t="s">
        <v>363</v>
      </c>
      <c r="K615" t="s">
        <v>985</v>
      </c>
      <c r="L615" t="s">
        <v>986</v>
      </c>
      <c r="M615" t="s">
        <v>366</v>
      </c>
      <c r="N615" t="s">
        <v>366</v>
      </c>
      <c r="O615" t="s">
        <v>531</v>
      </c>
      <c r="P615" t="s">
        <v>532</v>
      </c>
      <c r="Q615" s="5">
        <v>1</v>
      </c>
      <c r="R615" s="6">
        <v>25</v>
      </c>
      <c r="S615" s="6">
        <v>25</v>
      </c>
      <c r="T615" s="6">
        <v>9.8800000000000008</v>
      </c>
      <c r="U615" s="3">
        <v>46260.53125</v>
      </c>
      <c r="W615" t="s">
        <v>2029</v>
      </c>
      <c r="X615" t="s">
        <v>67</v>
      </c>
      <c r="Y615" t="s">
        <v>68</v>
      </c>
      <c r="Z615" t="s">
        <v>521</v>
      </c>
      <c r="AA615" t="s">
        <v>522</v>
      </c>
      <c r="AB615" t="s">
        <v>67</v>
      </c>
      <c r="AC615" t="s">
        <v>70</v>
      </c>
      <c r="AD615" t="s">
        <v>370</v>
      </c>
      <c r="AE615" t="s">
        <v>371</v>
      </c>
      <c r="AF615" t="s">
        <v>67</v>
      </c>
      <c r="AG615" t="s">
        <v>531</v>
      </c>
      <c r="AH615" t="b">
        <v>0</v>
      </c>
      <c r="AI615" t="b">
        <v>0</v>
      </c>
      <c r="AJ615" t="b">
        <v>1</v>
      </c>
      <c r="AK615" t="b">
        <v>0</v>
      </c>
      <c r="AL615" s="6">
        <v>9.8800000000000008</v>
      </c>
      <c r="AM615" s="3">
        <v>46260.53125</v>
      </c>
      <c r="AN615">
        <v>1</v>
      </c>
      <c r="AO615" s="3"/>
      <c r="AT615" t="b">
        <v>0</v>
      </c>
      <c r="AU615" t="s">
        <v>74</v>
      </c>
      <c r="AV615" t="b">
        <v>1</v>
      </c>
      <c r="AW615" t="b">
        <v>0</v>
      </c>
      <c r="AX615" s="5">
        <v>0</v>
      </c>
      <c r="AY615" s="3"/>
      <c r="AZ615" t="s">
        <v>67</v>
      </c>
      <c r="BA615" t="s">
        <v>67</v>
      </c>
      <c r="BB615" t="s">
        <v>317</v>
      </c>
    </row>
    <row r="616" spans="1:54" x14ac:dyDescent="0.3">
      <c r="A616">
        <v>1</v>
      </c>
      <c r="B616">
        <v>15</v>
      </c>
      <c r="C616" t="s">
        <v>54</v>
      </c>
      <c r="D616" s="3">
        <v>46197.507013888891</v>
      </c>
      <c r="E616" s="8">
        <v>46197</v>
      </c>
      <c r="F616" t="s">
        <v>2030</v>
      </c>
      <c r="G616" t="s">
        <v>56</v>
      </c>
      <c r="H616" t="s">
        <v>2031</v>
      </c>
      <c r="I616" t="s">
        <v>2032</v>
      </c>
      <c r="J616" t="s">
        <v>363</v>
      </c>
      <c r="K616" t="s">
        <v>2033</v>
      </c>
      <c r="L616" t="s">
        <v>986</v>
      </c>
      <c r="M616" t="s">
        <v>366</v>
      </c>
      <c r="N616" t="s">
        <v>366</v>
      </c>
      <c r="O616" t="s">
        <v>742</v>
      </c>
      <c r="P616" t="s">
        <v>743</v>
      </c>
      <c r="Q616" s="5">
        <v>1</v>
      </c>
      <c r="R616" s="6">
        <v>555</v>
      </c>
      <c r="S616" s="6">
        <v>555</v>
      </c>
      <c r="T616" s="6">
        <v>346.68</v>
      </c>
      <c r="U616" s="3">
        <v>46316.354166666657</v>
      </c>
      <c r="W616" t="s">
        <v>2034</v>
      </c>
      <c r="X616" t="s">
        <v>70</v>
      </c>
      <c r="Y616" t="s">
        <v>23</v>
      </c>
      <c r="Z616" t="s">
        <v>69</v>
      </c>
      <c r="AA616" t="s">
        <v>69</v>
      </c>
      <c r="AB616" t="s">
        <v>67</v>
      </c>
      <c r="AC616" t="s">
        <v>70</v>
      </c>
      <c r="AD616" t="s">
        <v>370</v>
      </c>
      <c r="AE616" t="s">
        <v>102</v>
      </c>
      <c r="AF616" t="s">
        <v>67</v>
      </c>
      <c r="AH616" t="b">
        <v>0</v>
      </c>
      <c r="AI616" t="b">
        <v>0</v>
      </c>
      <c r="AJ616" t="b">
        <v>0</v>
      </c>
      <c r="AK616" t="b">
        <v>0</v>
      </c>
      <c r="AL616" s="6">
        <v>346.68</v>
      </c>
      <c r="AM616" s="3">
        <v>46316.354166666657</v>
      </c>
      <c r="AN616">
        <v>1</v>
      </c>
      <c r="AO616" s="3"/>
      <c r="AT616" t="b">
        <v>0</v>
      </c>
      <c r="AU616" t="s">
        <v>74</v>
      </c>
      <c r="AV616" t="b">
        <v>1</v>
      </c>
      <c r="AW616" t="b">
        <v>0</v>
      </c>
      <c r="AX616" s="5">
        <v>0</v>
      </c>
      <c r="AY616" s="3"/>
      <c r="AZ616" t="s">
        <v>67</v>
      </c>
      <c r="BA616" t="s">
        <v>67</v>
      </c>
      <c r="BB616" t="s">
        <v>317</v>
      </c>
    </row>
    <row r="617" spans="1:54" x14ac:dyDescent="0.3">
      <c r="A617">
        <v>1</v>
      </c>
      <c r="B617">
        <v>15</v>
      </c>
      <c r="C617" t="s">
        <v>54</v>
      </c>
      <c r="D617" s="3">
        <v>46197.628819444442</v>
      </c>
      <c r="E617" s="8">
        <v>46197</v>
      </c>
      <c r="F617" t="s">
        <v>2035</v>
      </c>
      <c r="G617" t="s">
        <v>56</v>
      </c>
      <c r="H617" t="s">
        <v>2036</v>
      </c>
      <c r="I617" t="s">
        <v>2037</v>
      </c>
      <c r="J617" t="s">
        <v>363</v>
      </c>
      <c r="K617" t="s">
        <v>2038</v>
      </c>
      <c r="L617" t="s">
        <v>741</v>
      </c>
      <c r="M617" t="s">
        <v>366</v>
      </c>
      <c r="O617" t="s">
        <v>1055</v>
      </c>
      <c r="P617" t="s">
        <v>1056</v>
      </c>
      <c r="Q617" s="5">
        <v>1</v>
      </c>
      <c r="R617" s="6">
        <v>25</v>
      </c>
      <c r="S617" s="6">
        <v>25</v>
      </c>
      <c r="T617" s="6">
        <v>9.8800000000000008</v>
      </c>
      <c r="U617" s="3">
        <v>46316.354166666657</v>
      </c>
      <c r="W617" t="s">
        <v>2039</v>
      </c>
      <c r="X617" t="s">
        <v>67</v>
      </c>
      <c r="Y617" t="s">
        <v>68</v>
      </c>
      <c r="Z617" t="s">
        <v>521</v>
      </c>
      <c r="AA617" t="s">
        <v>522</v>
      </c>
      <c r="AB617" t="s">
        <v>70</v>
      </c>
      <c r="AC617" t="s">
        <v>70</v>
      </c>
      <c r="AD617" t="s">
        <v>745</v>
      </c>
      <c r="AE617" t="s">
        <v>371</v>
      </c>
      <c r="AF617" t="s">
        <v>67</v>
      </c>
      <c r="AG617" t="s">
        <v>1055</v>
      </c>
      <c r="AH617" t="b">
        <v>0</v>
      </c>
      <c r="AI617" t="b">
        <v>0</v>
      </c>
      <c r="AJ617" t="b">
        <v>0</v>
      </c>
      <c r="AK617" t="b">
        <v>0</v>
      </c>
      <c r="AL617" s="6">
        <v>9.8800000000000008</v>
      </c>
      <c r="AM617" s="3">
        <v>46316.354166666657</v>
      </c>
      <c r="AN617">
        <v>1</v>
      </c>
      <c r="AO617" s="3"/>
      <c r="AT617" t="b">
        <v>0</v>
      </c>
      <c r="AU617" t="s">
        <v>74</v>
      </c>
      <c r="AV617" t="b">
        <v>1</v>
      </c>
      <c r="AW617" t="b">
        <v>0</v>
      </c>
      <c r="AX617" s="5">
        <v>0</v>
      </c>
      <c r="AY617" s="3"/>
      <c r="AZ617" t="s">
        <v>67</v>
      </c>
      <c r="BA617" t="s">
        <v>67</v>
      </c>
      <c r="BB617" t="s">
        <v>317</v>
      </c>
    </row>
    <row r="618" spans="1:54" x14ac:dyDescent="0.3">
      <c r="A618">
        <v>1</v>
      </c>
      <c r="B618">
        <v>15</v>
      </c>
      <c r="C618" t="s">
        <v>54</v>
      </c>
      <c r="D618" s="3">
        <v>46211.646979166668</v>
      </c>
      <c r="E618" s="8">
        <v>46211</v>
      </c>
      <c r="F618" t="s">
        <v>2040</v>
      </c>
      <c r="G618" t="s">
        <v>56</v>
      </c>
      <c r="H618" t="s">
        <v>1214</v>
      </c>
      <c r="I618" t="s">
        <v>1215</v>
      </c>
      <c r="J618" t="s">
        <v>230</v>
      </c>
      <c r="K618" t="s">
        <v>1216</v>
      </c>
      <c r="L618" t="s">
        <v>1217</v>
      </c>
      <c r="M618" t="s">
        <v>232</v>
      </c>
      <c r="O618" t="s">
        <v>304</v>
      </c>
      <c r="P618" t="s">
        <v>305</v>
      </c>
      <c r="Q618" s="5">
        <v>1</v>
      </c>
      <c r="R618" s="6">
        <v>1070</v>
      </c>
      <c r="S618" s="6">
        <v>1070</v>
      </c>
      <c r="T618" s="6">
        <v>712.24</v>
      </c>
      <c r="U618" s="3">
        <v>46302.25</v>
      </c>
      <c r="W618" t="s">
        <v>1220</v>
      </c>
      <c r="X618" t="s">
        <v>67</v>
      </c>
      <c r="Y618" t="s">
        <v>68</v>
      </c>
      <c r="Z618" t="s">
        <v>2041</v>
      </c>
      <c r="AA618" t="s">
        <v>522</v>
      </c>
      <c r="AB618" t="s">
        <v>67</v>
      </c>
      <c r="AC618" t="s">
        <v>70</v>
      </c>
      <c r="AD618" t="s">
        <v>235</v>
      </c>
      <c r="AE618" t="s">
        <v>236</v>
      </c>
      <c r="AF618" t="s">
        <v>67</v>
      </c>
      <c r="AG618" t="s">
        <v>304</v>
      </c>
      <c r="AH618" t="b">
        <v>0</v>
      </c>
      <c r="AI618" t="b">
        <v>0</v>
      </c>
      <c r="AJ618" t="b">
        <v>0</v>
      </c>
      <c r="AK618" t="b">
        <v>0</v>
      </c>
      <c r="AL618" s="6">
        <v>712.24</v>
      </c>
      <c r="AM618" s="3">
        <v>46302.25</v>
      </c>
      <c r="AN618">
        <v>0</v>
      </c>
      <c r="AO618" s="3"/>
      <c r="AT618" t="b">
        <v>0</v>
      </c>
      <c r="AU618" t="s">
        <v>74</v>
      </c>
      <c r="AV618" t="b">
        <v>1</v>
      </c>
      <c r="AW618" t="b">
        <v>0</v>
      </c>
      <c r="AX618" s="5">
        <v>0</v>
      </c>
      <c r="AY618" s="3"/>
      <c r="AZ618" t="s">
        <v>67</v>
      </c>
      <c r="BA618" t="s">
        <v>67</v>
      </c>
      <c r="BB618" t="s">
        <v>317</v>
      </c>
    </row>
    <row r="619" spans="1:54" x14ac:dyDescent="0.3">
      <c r="A619">
        <v>1</v>
      </c>
      <c r="B619">
        <v>15</v>
      </c>
      <c r="C619" t="s">
        <v>54</v>
      </c>
      <c r="D619" s="3">
        <v>46211.646979166668</v>
      </c>
      <c r="E619" s="8">
        <v>46211</v>
      </c>
      <c r="F619" t="s">
        <v>2040</v>
      </c>
      <c r="G619" t="s">
        <v>56</v>
      </c>
      <c r="H619" t="s">
        <v>1214</v>
      </c>
      <c r="I619" t="s">
        <v>1215</v>
      </c>
      <c r="J619" t="s">
        <v>230</v>
      </c>
      <c r="K619" t="s">
        <v>1216</v>
      </c>
      <c r="L619" t="s">
        <v>1217</v>
      </c>
      <c r="M619" t="s">
        <v>232</v>
      </c>
      <c r="O619" t="s">
        <v>304</v>
      </c>
      <c r="P619" t="s">
        <v>305</v>
      </c>
      <c r="Q619" s="5">
        <v>1</v>
      </c>
      <c r="R619" s="6">
        <v>1070</v>
      </c>
      <c r="S619" s="6">
        <v>1070</v>
      </c>
      <c r="T619" s="6">
        <v>712.24</v>
      </c>
      <c r="U619" s="3">
        <v>46302.25</v>
      </c>
      <c r="W619" t="s">
        <v>1220</v>
      </c>
      <c r="X619" t="s">
        <v>67</v>
      </c>
      <c r="Y619" t="s">
        <v>68</v>
      </c>
      <c r="Z619" t="s">
        <v>2041</v>
      </c>
      <c r="AA619" t="s">
        <v>522</v>
      </c>
      <c r="AB619" t="s">
        <v>67</v>
      </c>
      <c r="AC619" t="s">
        <v>70</v>
      </c>
      <c r="AD619" t="s">
        <v>235</v>
      </c>
      <c r="AE619" t="s">
        <v>236</v>
      </c>
      <c r="AF619" t="s">
        <v>67</v>
      </c>
      <c r="AG619" t="s">
        <v>304</v>
      </c>
      <c r="AH619" t="b">
        <v>0</v>
      </c>
      <c r="AI619" t="b">
        <v>0</v>
      </c>
      <c r="AJ619" t="b">
        <v>0</v>
      </c>
      <c r="AK619" t="b">
        <v>0</v>
      </c>
      <c r="AL619" s="6">
        <v>712.24</v>
      </c>
      <c r="AM619" s="3">
        <v>46302.25</v>
      </c>
      <c r="AN619">
        <v>1</v>
      </c>
      <c r="AO619" s="3"/>
      <c r="AT619" t="b">
        <v>0</v>
      </c>
      <c r="AU619" t="s">
        <v>74</v>
      </c>
      <c r="AV619" t="b">
        <v>1</v>
      </c>
      <c r="AW619" t="b">
        <v>0</v>
      </c>
      <c r="AX619" s="5">
        <v>0</v>
      </c>
      <c r="AY619" s="3"/>
      <c r="AZ619" t="s">
        <v>67</v>
      </c>
      <c r="BA619" t="s">
        <v>67</v>
      </c>
      <c r="BB619" t="s">
        <v>317</v>
      </c>
    </row>
    <row r="620" spans="1:54" x14ac:dyDescent="0.3">
      <c r="A620">
        <v>1</v>
      </c>
      <c r="B620">
        <v>15</v>
      </c>
      <c r="C620" t="s">
        <v>54</v>
      </c>
      <c r="D620" s="3">
        <v>46211.646979166668</v>
      </c>
      <c r="E620" s="8">
        <v>46211</v>
      </c>
      <c r="F620" t="s">
        <v>2040</v>
      </c>
      <c r="G620" t="s">
        <v>56</v>
      </c>
      <c r="H620" t="s">
        <v>1214</v>
      </c>
      <c r="I620" t="s">
        <v>1215</v>
      </c>
      <c r="J620" t="s">
        <v>230</v>
      </c>
      <c r="K620" t="s">
        <v>1216</v>
      </c>
      <c r="L620" t="s">
        <v>1217</v>
      </c>
      <c r="M620" t="s">
        <v>232</v>
      </c>
      <c r="O620" t="s">
        <v>300</v>
      </c>
      <c r="P620" t="s">
        <v>301</v>
      </c>
      <c r="Q620" s="5">
        <v>1</v>
      </c>
      <c r="R620" s="6">
        <v>38</v>
      </c>
      <c r="S620" s="6">
        <v>38</v>
      </c>
      <c r="T620" s="6">
        <v>24.96</v>
      </c>
      <c r="U620" s="3">
        <v>46302.25</v>
      </c>
      <c r="W620" t="s">
        <v>1220</v>
      </c>
      <c r="X620" t="s">
        <v>67</v>
      </c>
      <c r="Y620" t="s">
        <v>68</v>
      </c>
      <c r="Z620" t="s">
        <v>2041</v>
      </c>
      <c r="AA620" t="s">
        <v>522</v>
      </c>
      <c r="AB620" t="s">
        <v>67</v>
      </c>
      <c r="AC620" t="s">
        <v>70</v>
      </c>
      <c r="AD620" t="s">
        <v>235</v>
      </c>
      <c r="AE620" t="s">
        <v>236</v>
      </c>
      <c r="AF620" t="s">
        <v>67</v>
      </c>
      <c r="AG620" t="s">
        <v>300</v>
      </c>
      <c r="AH620" t="b">
        <v>0</v>
      </c>
      <c r="AI620" t="b">
        <v>0</v>
      </c>
      <c r="AJ620" t="b">
        <v>0</v>
      </c>
      <c r="AK620" t="b">
        <v>0</v>
      </c>
      <c r="AL620" s="6">
        <v>24.96</v>
      </c>
      <c r="AM620" s="3">
        <v>46302.25</v>
      </c>
      <c r="AN620">
        <v>0</v>
      </c>
      <c r="AO620" s="3"/>
      <c r="AT620" t="b">
        <v>0</v>
      </c>
      <c r="AU620" t="s">
        <v>74</v>
      </c>
      <c r="AV620" t="b">
        <v>1</v>
      </c>
      <c r="AW620" t="b">
        <v>0</v>
      </c>
      <c r="AX620" s="5">
        <v>0</v>
      </c>
      <c r="AY620" s="3"/>
      <c r="AZ620" t="s">
        <v>67</v>
      </c>
      <c r="BA620" t="s">
        <v>67</v>
      </c>
      <c r="BB620" t="s">
        <v>317</v>
      </c>
    </row>
    <row r="621" spans="1:54" x14ac:dyDescent="0.3">
      <c r="A621">
        <v>1</v>
      </c>
      <c r="B621">
        <v>15</v>
      </c>
      <c r="C621" t="s">
        <v>54</v>
      </c>
      <c r="D621" s="3">
        <v>46211.646979166668</v>
      </c>
      <c r="E621" s="8">
        <v>46211</v>
      </c>
      <c r="F621" t="s">
        <v>2040</v>
      </c>
      <c r="G621" t="s">
        <v>56</v>
      </c>
      <c r="H621" t="s">
        <v>1214</v>
      </c>
      <c r="I621" t="s">
        <v>1215</v>
      </c>
      <c r="J621" t="s">
        <v>230</v>
      </c>
      <c r="K621" t="s">
        <v>1216</v>
      </c>
      <c r="L621" t="s">
        <v>1217</v>
      </c>
      <c r="M621" t="s">
        <v>232</v>
      </c>
      <c r="O621" t="s">
        <v>300</v>
      </c>
      <c r="P621" t="s">
        <v>301</v>
      </c>
      <c r="Q621" s="5">
        <v>1</v>
      </c>
      <c r="R621" s="6">
        <v>38</v>
      </c>
      <c r="S621" s="6">
        <v>38</v>
      </c>
      <c r="T621" s="6">
        <v>24.96</v>
      </c>
      <c r="U621" s="3">
        <v>46302.25</v>
      </c>
      <c r="W621" t="s">
        <v>1220</v>
      </c>
      <c r="X621" t="s">
        <v>67</v>
      </c>
      <c r="Y621" t="s">
        <v>68</v>
      </c>
      <c r="Z621" t="s">
        <v>2041</v>
      </c>
      <c r="AA621" t="s">
        <v>522</v>
      </c>
      <c r="AB621" t="s">
        <v>67</v>
      </c>
      <c r="AC621" t="s">
        <v>70</v>
      </c>
      <c r="AD621" t="s">
        <v>235</v>
      </c>
      <c r="AE621" t="s">
        <v>236</v>
      </c>
      <c r="AF621" t="s">
        <v>67</v>
      </c>
      <c r="AG621" t="s">
        <v>300</v>
      </c>
      <c r="AH621" t="b">
        <v>0</v>
      </c>
      <c r="AI621" t="b">
        <v>0</v>
      </c>
      <c r="AJ621" t="b">
        <v>0</v>
      </c>
      <c r="AK621" t="b">
        <v>0</v>
      </c>
      <c r="AL621" s="6">
        <v>24.96</v>
      </c>
      <c r="AM621" s="3">
        <v>46302.25</v>
      </c>
      <c r="AN621">
        <v>1</v>
      </c>
      <c r="AO621" s="3"/>
      <c r="AT621" t="b">
        <v>0</v>
      </c>
      <c r="AU621" t="s">
        <v>74</v>
      </c>
      <c r="AV621" t="b">
        <v>1</v>
      </c>
      <c r="AW621" t="b">
        <v>0</v>
      </c>
      <c r="AX621" s="5">
        <v>0</v>
      </c>
      <c r="AY621" s="3"/>
      <c r="AZ621" t="s">
        <v>67</v>
      </c>
      <c r="BA621" t="s">
        <v>67</v>
      </c>
      <c r="BB621" t="s">
        <v>317</v>
      </c>
    </row>
    <row r="622" spans="1:54" x14ac:dyDescent="0.3">
      <c r="A622">
        <v>1</v>
      </c>
      <c r="B622">
        <v>15</v>
      </c>
      <c r="C622" t="s">
        <v>54</v>
      </c>
      <c r="D622" s="3">
        <v>46217.461273148147</v>
      </c>
      <c r="E622" s="8">
        <v>46288</v>
      </c>
      <c r="F622" t="s">
        <v>2042</v>
      </c>
      <c r="G622" t="s">
        <v>56</v>
      </c>
      <c r="H622" t="s">
        <v>1715</v>
      </c>
      <c r="I622" t="s">
        <v>1716</v>
      </c>
      <c r="J622" t="s">
        <v>59</v>
      </c>
      <c r="K622" t="s">
        <v>164</v>
      </c>
      <c r="L622" t="s">
        <v>61</v>
      </c>
      <c r="M622" t="s">
        <v>63</v>
      </c>
      <c r="N622" t="s">
        <v>63</v>
      </c>
      <c r="O622" t="s">
        <v>82</v>
      </c>
      <c r="P622" t="s">
        <v>83</v>
      </c>
      <c r="Q622" s="5">
        <v>1</v>
      </c>
      <c r="R622" s="6">
        <v>140</v>
      </c>
      <c r="S622" s="6">
        <v>140</v>
      </c>
      <c r="T622" s="6">
        <v>93.1</v>
      </c>
      <c r="U622" s="3">
        <v>46279.208333333343</v>
      </c>
      <c r="W622" t="s">
        <v>1717</v>
      </c>
      <c r="X622" t="s">
        <v>67</v>
      </c>
      <c r="Y622" t="s">
        <v>68</v>
      </c>
      <c r="Z622" t="s">
        <v>69</v>
      </c>
      <c r="AA622" t="s">
        <v>69</v>
      </c>
      <c r="AB622" t="s">
        <v>67</v>
      </c>
      <c r="AC622" t="s">
        <v>70</v>
      </c>
      <c r="AD622" t="s">
        <v>71</v>
      </c>
      <c r="AE622" t="s">
        <v>84</v>
      </c>
      <c r="AF622" t="s">
        <v>67</v>
      </c>
      <c r="AG622" t="s">
        <v>82</v>
      </c>
      <c r="AH622" t="b">
        <v>0</v>
      </c>
      <c r="AI622" t="b">
        <v>0</v>
      </c>
      <c r="AJ622" t="b">
        <v>0</v>
      </c>
      <c r="AK622" t="b">
        <v>0</v>
      </c>
      <c r="AL622" s="6">
        <v>93.1</v>
      </c>
      <c r="AM622" s="3">
        <v>46279.208333333343</v>
      </c>
      <c r="AN622">
        <v>1</v>
      </c>
      <c r="AO622" s="3"/>
      <c r="AT622" t="b">
        <v>0</v>
      </c>
      <c r="AU622" t="s">
        <v>74</v>
      </c>
      <c r="AV622" t="b">
        <v>1</v>
      </c>
      <c r="AW622" t="b">
        <v>0</v>
      </c>
      <c r="AX622" s="5">
        <v>0</v>
      </c>
      <c r="AY622" s="3"/>
      <c r="AZ622" t="s">
        <v>67</v>
      </c>
      <c r="BA622" t="s">
        <v>67</v>
      </c>
      <c r="BB622" t="s">
        <v>317</v>
      </c>
    </row>
    <row r="623" spans="1:54" x14ac:dyDescent="0.3">
      <c r="A623">
        <v>1</v>
      </c>
      <c r="B623">
        <v>15</v>
      </c>
      <c r="C623" t="s">
        <v>54</v>
      </c>
      <c r="D623" s="3">
        <v>46217.461273148147</v>
      </c>
      <c r="E623" s="8">
        <v>46288</v>
      </c>
      <c r="F623" t="s">
        <v>2042</v>
      </c>
      <c r="G623" t="s">
        <v>56</v>
      </c>
      <c r="H623" t="s">
        <v>1715</v>
      </c>
      <c r="I623" t="s">
        <v>1716</v>
      </c>
      <c r="J623" t="s">
        <v>59</v>
      </c>
      <c r="K623" t="s">
        <v>164</v>
      </c>
      <c r="L623" t="s">
        <v>61</v>
      </c>
      <c r="M623" t="s">
        <v>63</v>
      </c>
      <c r="N623" t="s">
        <v>63</v>
      </c>
      <c r="O623" t="s">
        <v>64</v>
      </c>
      <c r="P623" t="s">
        <v>65</v>
      </c>
      <c r="Q623" s="5">
        <v>1</v>
      </c>
      <c r="R623" s="6">
        <v>237</v>
      </c>
      <c r="S623" s="6">
        <v>237</v>
      </c>
      <c r="T623" s="6">
        <v>157.5</v>
      </c>
      <c r="U623" s="3">
        <v>46279.208333333343</v>
      </c>
      <c r="W623" t="s">
        <v>1717</v>
      </c>
      <c r="X623" t="s">
        <v>67</v>
      </c>
      <c r="Y623" t="s">
        <v>68</v>
      </c>
      <c r="Z623" t="s">
        <v>69</v>
      </c>
      <c r="AA623" t="s">
        <v>69</v>
      </c>
      <c r="AB623" t="s">
        <v>67</v>
      </c>
      <c r="AC623" t="s">
        <v>70</v>
      </c>
      <c r="AD623" t="s">
        <v>71</v>
      </c>
      <c r="AE623" t="s">
        <v>72</v>
      </c>
      <c r="AF623" t="s">
        <v>67</v>
      </c>
      <c r="AG623" t="s">
        <v>73</v>
      </c>
      <c r="AH623" t="b">
        <v>0</v>
      </c>
      <c r="AI623" t="b">
        <v>0</v>
      </c>
      <c r="AJ623" t="b">
        <v>0</v>
      </c>
      <c r="AK623" t="b">
        <v>0</v>
      </c>
      <c r="AL623" s="6">
        <v>157.5</v>
      </c>
      <c r="AM623" s="3">
        <v>46279.208333333343</v>
      </c>
      <c r="AN623">
        <v>1</v>
      </c>
      <c r="AO623" s="3"/>
      <c r="AT623" t="b">
        <v>0</v>
      </c>
      <c r="AU623" t="s">
        <v>74</v>
      </c>
      <c r="AV623" t="b">
        <v>1</v>
      </c>
      <c r="AW623" t="b">
        <v>0</v>
      </c>
      <c r="AX623" s="5">
        <v>0</v>
      </c>
      <c r="AY623" s="3"/>
      <c r="AZ623" t="s">
        <v>67</v>
      </c>
      <c r="BA623" t="s">
        <v>67</v>
      </c>
      <c r="BB623" t="s">
        <v>317</v>
      </c>
    </row>
    <row r="624" spans="1:54" x14ac:dyDescent="0.3">
      <c r="A624">
        <v>1</v>
      </c>
      <c r="B624">
        <v>15</v>
      </c>
      <c r="C624" t="s">
        <v>54</v>
      </c>
      <c r="D624" s="3">
        <v>46217.461273148147</v>
      </c>
      <c r="E624" s="8">
        <v>46288</v>
      </c>
      <c r="F624" t="s">
        <v>2042</v>
      </c>
      <c r="G624" t="s">
        <v>56</v>
      </c>
      <c r="H624" t="s">
        <v>1715</v>
      </c>
      <c r="I624" t="s">
        <v>1716</v>
      </c>
      <c r="J624" t="s">
        <v>59</v>
      </c>
      <c r="K624" t="s">
        <v>164</v>
      </c>
      <c r="L624" t="s">
        <v>61</v>
      </c>
      <c r="M624" t="s">
        <v>63</v>
      </c>
      <c r="N624" t="s">
        <v>63</v>
      </c>
      <c r="O624" t="s">
        <v>1933</v>
      </c>
      <c r="P624" t="s">
        <v>1934</v>
      </c>
      <c r="Q624" s="5">
        <v>1</v>
      </c>
      <c r="R624" s="6">
        <v>326.95999999999998</v>
      </c>
      <c r="S624" s="6">
        <v>326.95999999999998</v>
      </c>
      <c r="T624" s="6">
        <v>97.2</v>
      </c>
      <c r="U624" s="3">
        <v>46279.208333333343</v>
      </c>
      <c r="W624" t="s">
        <v>1717</v>
      </c>
      <c r="X624" t="s">
        <v>67</v>
      </c>
      <c r="Y624" t="s">
        <v>68</v>
      </c>
      <c r="Z624" t="s">
        <v>69</v>
      </c>
      <c r="AA624" t="s">
        <v>69</v>
      </c>
      <c r="AB624" t="s">
        <v>67</v>
      </c>
      <c r="AC624" t="s">
        <v>70</v>
      </c>
      <c r="AD624" t="s">
        <v>71</v>
      </c>
      <c r="AE624" t="s">
        <v>185</v>
      </c>
      <c r="AF624" t="s">
        <v>67</v>
      </c>
      <c r="AG624" t="s">
        <v>1935</v>
      </c>
      <c r="AH624" t="b">
        <v>0</v>
      </c>
      <c r="AI624" t="b">
        <v>0</v>
      </c>
      <c r="AJ624" t="b">
        <v>0</v>
      </c>
      <c r="AK624" t="b">
        <v>0</v>
      </c>
      <c r="AL624" s="6">
        <v>97.2</v>
      </c>
      <c r="AM624" s="3">
        <v>46279.208333333343</v>
      </c>
      <c r="AN624">
        <v>1</v>
      </c>
      <c r="AO624" s="3"/>
      <c r="AT624" t="b">
        <v>0</v>
      </c>
      <c r="AU624" t="s">
        <v>74</v>
      </c>
      <c r="AV624" t="b">
        <v>1</v>
      </c>
      <c r="AW624" t="b">
        <v>0</v>
      </c>
      <c r="AX624" s="5">
        <v>0</v>
      </c>
      <c r="AY624" s="3"/>
      <c r="AZ624" t="s">
        <v>67</v>
      </c>
      <c r="BA624" t="s">
        <v>67</v>
      </c>
      <c r="BB624" t="s">
        <v>317</v>
      </c>
    </row>
    <row r="625" spans="1:54" x14ac:dyDescent="0.3">
      <c r="A625">
        <v>1</v>
      </c>
      <c r="B625">
        <v>15</v>
      </c>
      <c r="C625" t="s">
        <v>54</v>
      </c>
      <c r="D625" s="3">
        <v>46217.461273148147</v>
      </c>
      <c r="E625" s="8">
        <v>46288</v>
      </c>
      <c r="F625" t="s">
        <v>2042</v>
      </c>
      <c r="G625" t="s">
        <v>56</v>
      </c>
      <c r="H625" t="s">
        <v>1715</v>
      </c>
      <c r="I625" t="s">
        <v>1716</v>
      </c>
      <c r="J625" t="s">
        <v>59</v>
      </c>
      <c r="K625" t="s">
        <v>164</v>
      </c>
      <c r="L625" t="s">
        <v>61</v>
      </c>
      <c r="M625" t="s">
        <v>63</v>
      </c>
      <c r="N625" t="s">
        <v>63</v>
      </c>
      <c r="O625" t="s">
        <v>1987</v>
      </c>
      <c r="P625" t="s">
        <v>1988</v>
      </c>
      <c r="Q625" s="5">
        <v>1</v>
      </c>
      <c r="R625" s="6">
        <v>630</v>
      </c>
      <c r="S625" s="6">
        <v>630</v>
      </c>
      <c r="T625" s="6">
        <v>218</v>
      </c>
      <c r="U625" s="3">
        <v>46279.208333333343</v>
      </c>
      <c r="W625" t="s">
        <v>1717</v>
      </c>
      <c r="X625" t="s">
        <v>67</v>
      </c>
      <c r="Y625" t="s">
        <v>68</v>
      </c>
      <c r="Z625" t="s">
        <v>69</v>
      </c>
      <c r="AA625" t="s">
        <v>69</v>
      </c>
      <c r="AB625" t="s">
        <v>67</v>
      </c>
      <c r="AC625" t="s">
        <v>70</v>
      </c>
      <c r="AD625" t="s">
        <v>71</v>
      </c>
      <c r="AE625" t="s">
        <v>185</v>
      </c>
      <c r="AF625" t="s">
        <v>67</v>
      </c>
      <c r="AG625" t="s">
        <v>1989</v>
      </c>
      <c r="AH625" t="b">
        <v>0</v>
      </c>
      <c r="AI625" t="b">
        <v>0</v>
      </c>
      <c r="AJ625" t="b">
        <v>0</v>
      </c>
      <c r="AK625" t="b">
        <v>0</v>
      </c>
      <c r="AL625" s="6">
        <v>218</v>
      </c>
      <c r="AM625" s="3">
        <v>46279.208333333343</v>
      </c>
      <c r="AN625">
        <v>1</v>
      </c>
      <c r="AO625" s="3"/>
      <c r="AT625" t="b">
        <v>0</v>
      </c>
      <c r="AU625" t="s">
        <v>74</v>
      </c>
      <c r="AV625" t="b">
        <v>1</v>
      </c>
      <c r="AW625" t="b">
        <v>0</v>
      </c>
      <c r="AX625" s="5">
        <v>0</v>
      </c>
      <c r="AY625" s="3"/>
      <c r="AZ625" t="s">
        <v>67</v>
      </c>
      <c r="BA625" t="s">
        <v>67</v>
      </c>
      <c r="BB625" t="s">
        <v>317</v>
      </c>
    </row>
    <row r="626" spans="1:54" x14ac:dyDescent="0.3">
      <c r="A626">
        <v>1</v>
      </c>
      <c r="B626">
        <v>15</v>
      </c>
      <c r="C626" t="s">
        <v>54</v>
      </c>
      <c r="D626" s="3">
        <v>46217.461273148147</v>
      </c>
      <c r="E626" s="8">
        <v>46288</v>
      </c>
      <c r="F626" t="s">
        <v>2042</v>
      </c>
      <c r="G626" t="s">
        <v>56</v>
      </c>
      <c r="H626" t="s">
        <v>1715</v>
      </c>
      <c r="I626" t="s">
        <v>1716</v>
      </c>
      <c r="J626" t="s">
        <v>59</v>
      </c>
      <c r="K626" t="s">
        <v>164</v>
      </c>
      <c r="L626" t="s">
        <v>61</v>
      </c>
      <c r="M626" t="s">
        <v>63</v>
      </c>
      <c r="N626" t="s">
        <v>63</v>
      </c>
      <c r="O626" t="s">
        <v>1204</v>
      </c>
      <c r="P626" t="s">
        <v>1205</v>
      </c>
      <c r="Q626" s="5">
        <v>1</v>
      </c>
      <c r="R626" s="6">
        <v>131.76</v>
      </c>
      <c r="S626" s="6">
        <v>131.76</v>
      </c>
      <c r="T626" s="6">
        <v>39.200000000000003</v>
      </c>
      <c r="U626" s="3">
        <v>46279.208333333343</v>
      </c>
      <c r="W626" t="s">
        <v>1717</v>
      </c>
      <c r="X626" t="s">
        <v>67</v>
      </c>
      <c r="Y626" t="s">
        <v>68</v>
      </c>
      <c r="Z626" t="s">
        <v>69</v>
      </c>
      <c r="AA626" t="s">
        <v>69</v>
      </c>
      <c r="AB626" t="s">
        <v>67</v>
      </c>
      <c r="AC626" t="s">
        <v>70</v>
      </c>
      <c r="AD626" t="s">
        <v>71</v>
      </c>
      <c r="AE626" t="s">
        <v>185</v>
      </c>
      <c r="AF626" t="s">
        <v>67</v>
      </c>
      <c r="AG626" t="s">
        <v>1207</v>
      </c>
      <c r="AH626" t="b">
        <v>0</v>
      </c>
      <c r="AI626" t="b">
        <v>0</v>
      </c>
      <c r="AJ626" t="b">
        <v>0</v>
      </c>
      <c r="AK626" t="b">
        <v>0</v>
      </c>
      <c r="AL626" s="6">
        <v>39.200000000000003</v>
      </c>
      <c r="AM626" s="3">
        <v>46279.208333333343</v>
      </c>
      <c r="AN626">
        <v>1</v>
      </c>
      <c r="AO626" s="3"/>
      <c r="AT626" t="b">
        <v>0</v>
      </c>
      <c r="AU626" t="s">
        <v>74</v>
      </c>
      <c r="AV626" t="b">
        <v>1</v>
      </c>
      <c r="AW626" t="b">
        <v>0</v>
      </c>
      <c r="AX626" s="5">
        <v>0</v>
      </c>
      <c r="AY626" s="3"/>
      <c r="AZ626" t="s">
        <v>67</v>
      </c>
      <c r="BA626" t="s">
        <v>67</v>
      </c>
      <c r="BB626" t="s">
        <v>317</v>
      </c>
    </row>
    <row r="627" spans="1:54" x14ac:dyDescent="0.3">
      <c r="A627">
        <v>1</v>
      </c>
      <c r="B627">
        <v>15</v>
      </c>
      <c r="C627" t="s">
        <v>54</v>
      </c>
      <c r="D627" s="3">
        <v>46217.609386574077</v>
      </c>
      <c r="E627" s="8">
        <v>46217</v>
      </c>
      <c r="F627" t="s">
        <v>2043</v>
      </c>
      <c r="G627" t="s">
        <v>56</v>
      </c>
      <c r="H627" t="s">
        <v>1431</v>
      </c>
      <c r="I627" t="s">
        <v>1432</v>
      </c>
      <c r="J627" t="s">
        <v>59</v>
      </c>
      <c r="K627" t="s">
        <v>1032</v>
      </c>
      <c r="L627" t="s">
        <v>61</v>
      </c>
      <c r="M627" t="s">
        <v>62</v>
      </c>
      <c r="N627" t="s">
        <v>62</v>
      </c>
      <c r="O627" t="s">
        <v>82</v>
      </c>
      <c r="P627" t="s">
        <v>83</v>
      </c>
      <c r="Q627" s="5">
        <v>1</v>
      </c>
      <c r="R627" s="6">
        <v>140</v>
      </c>
      <c r="S627" s="6">
        <v>140</v>
      </c>
      <c r="T627" s="6">
        <v>93.1</v>
      </c>
      <c r="U627" s="3">
        <v>46288.479166666657</v>
      </c>
      <c r="W627" t="s">
        <v>1435</v>
      </c>
      <c r="X627" t="s">
        <v>67</v>
      </c>
      <c r="Y627" t="s">
        <v>68</v>
      </c>
      <c r="Z627" t="s">
        <v>521</v>
      </c>
      <c r="AA627" t="s">
        <v>522</v>
      </c>
      <c r="AB627" t="s">
        <v>70</v>
      </c>
      <c r="AC627" t="s">
        <v>70</v>
      </c>
      <c r="AD627" t="s">
        <v>71</v>
      </c>
      <c r="AE627" t="s">
        <v>84</v>
      </c>
      <c r="AF627" t="s">
        <v>67</v>
      </c>
      <c r="AG627" t="s">
        <v>82</v>
      </c>
      <c r="AH627" t="b">
        <v>0</v>
      </c>
      <c r="AI627" t="b">
        <v>0</v>
      </c>
      <c r="AJ627" t="b">
        <v>0</v>
      </c>
      <c r="AK627" t="b">
        <v>1</v>
      </c>
      <c r="AL627" s="6">
        <v>93.1</v>
      </c>
      <c r="AM627" s="3">
        <v>46286.236111111109</v>
      </c>
      <c r="AN627">
        <v>1</v>
      </c>
      <c r="AO627" s="3"/>
      <c r="AT627" t="b">
        <v>0</v>
      </c>
      <c r="AU627" t="s">
        <v>74</v>
      </c>
      <c r="AV627" t="b">
        <v>1</v>
      </c>
      <c r="AW627" t="b">
        <v>0</v>
      </c>
      <c r="AX627" s="5">
        <v>0</v>
      </c>
      <c r="AY627" s="3"/>
      <c r="AZ627" t="s">
        <v>67</v>
      </c>
      <c r="BA627" t="s">
        <v>67</v>
      </c>
      <c r="BB627" t="s">
        <v>317</v>
      </c>
    </row>
    <row r="628" spans="1:54" x14ac:dyDescent="0.3">
      <c r="A628">
        <v>1</v>
      </c>
      <c r="B628">
        <v>15</v>
      </c>
      <c r="C628" t="s">
        <v>54</v>
      </c>
      <c r="D628" s="3">
        <v>46217.681840277779</v>
      </c>
      <c r="E628" s="8">
        <v>46217</v>
      </c>
      <c r="F628" t="s">
        <v>2044</v>
      </c>
      <c r="G628" t="s">
        <v>56</v>
      </c>
      <c r="H628" t="s">
        <v>1026</v>
      </c>
      <c r="I628" t="s">
        <v>1027</v>
      </c>
      <c r="J628" t="s">
        <v>59</v>
      </c>
      <c r="K628" t="s">
        <v>902</v>
      </c>
      <c r="L628" t="s">
        <v>61</v>
      </c>
      <c r="M628" t="s">
        <v>62</v>
      </c>
      <c r="N628" t="s">
        <v>62</v>
      </c>
      <c r="O628" t="s">
        <v>2045</v>
      </c>
      <c r="P628" t="s">
        <v>2046</v>
      </c>
      <c r="Q628" s="5">
        <v>1</v>
      </c>
      <c r="R628" s="6">
        <v>89.7</v>
      </c>
      <c r="S628" s="6">
        <v>89.7</v>
      </c>
      <c r="T628" s="6">
        <v>28.35</v>
      </c>
      <c r="U628" s="3">
        <v>46280.208333333343</v>
      </c>
      <c r="W628" t="s">
        <v>1028</v>
      </c>
      <c r="X628" t="s">
        <v>67</v>
      </c>
      <c r="Y628" t="s">
        <v>68</v>
      </c>
      <c r="Z628" t="s">
        <v>69</v>
      </c>
      <c r="AA628" t="s">
        <v>69</v>
      </c>
      <c r="AB628" t="s">
        <v>67</v>
      </c>
      <c r="AC628" t="s">
        <v>70</v>
      </c>
      <c r="AD628" t="s">
        <v>71</v>
      </c>
      <c r="AE628" t="s">
        <v>77</v>
      </c>
      <c r="AF628" t="s">
        <v>67</v>
      </c>
      <c r="AG628" t="s">
        <v>2047</v>
      </c>
      <c r="AH628" t="b">
        <v>0</v>
      </c>
      <c r="AI628" t="b">
        <v>0</v>
      </c>
      <c r="AJ628" t="b">
        <v>0</v>
      </c>
      <c r="AK628" t="b">
        <v>1</v>
      </c>
      <c r="AL628" s="6">
        <v>28.35</v>
      </c>
      <c r="AM628" s="3">
        <v>46280.208333333343</v>
      </c>
      <c r="AN628">
        <v>1</v>
      </c>
      <c r="AO628" s="3"/>
      <c r="AT628" t="b">
        <v>0</v>
      </c>
      <c r="AU628" t="s">
        <v>74</v>
      </c>
      <c r="AV628" t="b">
        <v>1</v>
      </c>
      <c r="AW628" t="b">
        <v>0</v>
      </c>
      <c r="AX628" s="5">
        <v>0</v>
      </c>
      <c r="AY628" s="3"/>
      <c r="AZ628" t="s">
        <v>67</v>
      </c>
      <c r="BA628" t="s">
        <v>67</v>
      </c>
      <c r="BB628" t="s">
        <v>317</v>
      </c>
    </row>
    <row r="629" spans="1:54" x14ac:dyDescent="0.3">
      <c r="A629">
        <v>1</v>
      </c>
      <c r="B629">
        <v>15</v>
      </c>
      <c r="C629" t="s">
        <v>54</v>
      </c>
      <c r="D629" s="3">
        <v>46217.689027777778</v>
      </c>
      <c r="E629" s="8">
        <v>46217</v>
      </c>
      <c r="F629" t="s">
        <v>2048</v>
      </c>
      <c r="G629" t="s">
        <v>56</v>
      </c>
      <c r="H629" t="s">
        <v>2049</v>
      </c>
      <c r="I629" t="s">
        <v>2050</v>
      </c>
      <c r="J629" t="s">
        <v>59</v>
      </c>
      <c r="K629" t="s">
        <v>1138</v>
      </c>
      <c r="L629" t="s">
        <v>61</v>
      </c>
      <c r="M629" t="s">
        <v>62</v>
      </c>
      <c r="N629" t="s">
        <v>62</v>
      </c>
      <c r="O629" t="s">
        <v>82</v>
      </c>
      <c r="P629" t="s">
        <v>83</v>
      </c>
      <c r="Q629" s="5">
        <v>2</v>
      </c>
      <c r="R629" s="6">
        <v>140</v>
      </c>
      <c r="S629" s="6">
        <v>280</v>
      </c>
      <c r="T629" s="6">
        <v>186.2</v>
      </c>
      <c r="U629" s="3">
        <v>46245.208333333343</v>
      </c>
      <c r="W629" t="s">
        <v>2051</v>
      </c>
      <c r="X629" t="s">
        <v>70</v>
      </c>
      <c r="Y629" t="s">
        <v>68</v>
      </c>
      <c r="Z629" t="s">
        <v>69</v>
      </c>
      <c r="AA629" t="s">
        <v>69</v>
      </c>
      <c r="AB629" t="s">
        <v>67</v>
      </c>
      <c r="AC629" t="s">
        <v>70</v>
      </c>
      <c r="AD629" t="s">
        <v>71</v>
      </c>
      <c r="AE629" t="s">
        <v>84</v>
      </c>
      <c r="AF629" t="s">
        <v>67</v>
      </c>
      <c r="AG629" t="s">
        <v>82</v>
      </c>
      <c r="AH629" t="b">
        <v>0</v>
      </c>
      <c r="AI629" t="b">
        <v>1</v>
      </c>
      <c r="AJ629" t="b">
        <v>1</v>
      </c>
      <c r="AK629" t="b">
        <v>1</v>
      </c>
      <c r="AL629" s="6">
        <v>93.1</v>
      </c>
      <c r="AM629" s="3">
        <v>46245.208333333343</v>
      </c>
      <c r="AN629">
        <v>1</v>
      </c>
      <c r="AO629" s="3"/>
      <c r="AT629" t="b">
        <v>0</v>
      </c>
      <c r="AU629" t="s">
        <v>74</v>
      </c>
      <c r="AV629" t="b">
        <v>1</v>
      </c>
      <c r="AW629" t="b">
        <v>0</v>
      </c>
      <c r="AX629" s="5">
        <v>0</v>
      </c>
      <c r="AY629" s="3"/>
      <c r="AZ629" t="s">
        <v>67</v>
      </c>
      <c r="BA629" t="s">
        <v>67</v>
      </c>
      <c r="BB629" t="s">
        <v>317</v>
      </c>
    </row>
    <row r="630" spans="1:54" x14ac:dyDescent="0.3">
      <c r="A630">
        <v>1</v>
      </c>
      <c r="B630">
        <v>15</v>
      </c>
      <c r="C630" t="s">
        <v>54</v>
      </c>
      <c r="D630" s="3">
        <v>46217.689027777778</v>
      </c>
      <c r="E630" s="8">
        <v>46217</v>
      </c>
      <c r="F630" t="s">
        <v>2048</v>
      </c>
      <c r="G630" t="s">
        <v>56</v>
      </c>
      <c r="H630" t="s">
        <v>2049</v>
      </c>
      <c r="I630" t="s">
        <v>2050</v>
      </c>
      <c r="J630" t="s">
        <v>59</v>
      </c>
      <c r="K630" t="s">
        <v>1138</v>
      </c>
      <c r="L630" t="s">
        <v>61</v>
      </c>
      <c r="M630" t="s">
        <v>62</v>
      </c>
      <c r="N630" t="s">
        <v>62</v>
      </c>
      <c r="O630" t="s">
        <v>1244</v>
      </c>
      <c r="P630" t="s">
        <v>1245</v>
      </c>
      <c r="Q630" s="5">
        <v>2</v>
      </c>
      <c r="R630" s="6">
        <v>778</v>
      </c>
      <c r="S630" s="6">
        <v>1556</v>
      </c>
      <c r="T630" s="6">
        <v>972</v>
      </c>
      <c r="U630" s="3">
        <v>46245.208333333343</v>
      </c>
      <c r="W630" t="s">
        <v>2051</v>
      </c>
      <c r="X630" t="s">
        <v>70</v>
      </c>
      <c r="Y630" t="s">
        <v>23</v>
      </c>
      <c r="Z630" t="s">
        <v>69</v>
      </c>
      <c r="AA630" t="s">
        <v>69</v>
      </c>
      <c r="AB630" t="s">
        <v>67</v>
      </c>
      <c r="AC630" t="s">
        <v>70</v>
      </c>
      <c r="AD630" t="s">
        <v>71</v>
      </c>
      <c r="AF630" t="s">
        <v>67</v>
      </c>
      <c r="AH630" t="b">
        <v>0</v>
      </c>
      <c r="AI630" t="b">
        <v>1</v>
      </c>
      <c r="AJ630" t="b">
        <v>1</v>
      </c>
      <c r="AK630" t="b">
        <v>1</v>
      </c>
      <c r="AL630" s="6">
        <v>486</v>
      </c>
      <c r="AM630" s="3">
        <v>46245.208333333343</v>
      </c>
      <c r="AN630">
        <v>1</v>
      </c>
      <c r="AO630" s="3"/>
      <c r="AT630" t="b">
        <v>0</v>
      </c>
      <c r="AU630" t="s">
        <v>74</v>
      </c>
      <c r="AV630" t="b">
        <v>1</v>
      </c>
      <c r="AW630" t="b">
        <v>0</v>
      </c>
      <c r="AX630" s="5">
        <v>0</v>
      </c>
      <c r="AY630" s="3"/>
      <c r="AZ630" t="s">
        <v>67</v>
      </c>
      <c r="BA630" t="s">
        <v>67</v>
      </c>
      <c r="BB630" t="s">
        <v>317</v>
      </c>
    </row>
    <row r="631" spans="1:54" x14ac:dyDescent="0.3">
      <c r="A631">
        <v>1</v>
      </c>
      <c r="B631">
        <v>15</v>
      </c>
      <c r="C631" t="s">
        <v>54</v>
      </c>
      <c r="D631" s="3">
        <v>46217.689027777778</v>
      </c>
      <c r="E631" s="8">
        <v>46217</v>
      </c>
      <c r="F631" t="s">
        <v>2048</v>
      </c>
      <c r="G631" t="s">
        <v>56</v>
      </c>
      <c r="H631" t="s">
        <v>2049</v>
      </c>
      <c r="I631" t="s">
        <v>2050</v>
      </c>
      <c r="J631" t="s">
        <v>59</v>
      </c>
      <c r="K631" t="s">
        <v>1138</v>
      </c>
      <c r="L631" t="s">
        <v>61</v>
      </c>
      <c r="M631" t="s">
        <v>62</v>
      </c>
      <c r="N631" t="s">
        <v>62</v>
      </c>
      <c r="O631" t="s">
        <v>1244</v>
      </c>
      <c r="P631" t="s">
        <v>1245</v>
      </c>
      <c r="Q631" s="5">
        <v>3</v>
      </c>
      <c r="R631" s="6">
        <v>778</v>
      </c>
      <c r="S631" s="6">
        <v>2334</v>
      </c>
      <c r="T631" s="6">
        <v>1458</v>
      </c>
      <c r="U631" s="3">
        <v>46245.208333333343</v>
      </c>
      <c r="W631" t="s">
        <v>2051</v>
      </c>
      <c r="X631" t="s">
        <v>70</v>
      </c>
      <c r="Y631" t="s">
        <v>23</v>
      </c>
      <c r="Z631" t="s">
        <v>69</v>
      </c>
      <c r="AA631" t="s">
        <v>69</v>
      </c>
      <c r="AB631" t="s">
        <v>67</v>
      </c>
      <c r="AC631" t="s">
        <v>70</v>
      </c>
      <c r="AD631" t="s">
        <v>71</v>
      </c>
      <c r="AF631" t="s">
        <v>67</v>
      </c>
      <c r="AH631" t="b">
        <v>0</v>
      </c>
      <c r="AI631" t="b">
        <v>1</v>
      </c>
      <c r="AJ631" t="b">
        <v>1</v>
      </c>
      <c r="AK631" t="b">
        <v>1</v>
      </c>
      <c r="AL631" s="6">
        <v>486</v>
      </c>
      <c r="AM631" s="3">
        <v>46245.208333333343</v>
      </c>
      <c r="AN631">
        <v>1</v>
      </c>
      <c r="AO631" s="3"/>
      <c r="AT631" t="b">
        <v>0</v>
      </c>
      <c r="AU631" t="s">
        <v>74</v>
      </c>
      <c r="AV631" t="b">
        <v>1</v>
      </c>
      <c r="AW631" t="b">
        <v>0</v>
      </c>
      <c r="AX631" s="5">
        <v>0</v>
      </c>
      <c r="AY631" s="3"/>
      <c r="AZ631" t="s">
        <v>67</v>
      </c>
      <c r="BA631" t="s">
        <v>67</v>
      </c>
      <c r="BB631" t="s">
        <v>317</v>
      </c>
    </row>
    <row r="632" spans="1:54" x14ac:dyDescent="0.3">
      <c r="A632">
        <v>1</v>
      </c>
      <c r="B632">
        <v>15</v>
      </c>
      <c r="C632" t="s">
        <v>54</v>
      </c>
      <c r="D632" s="3">
        <v>46217.689027777778</v>
      </c>
      <c r="E632" s="8">
        <v>46217</v>
      </c>
      <c r="F632" t="s">
        <v>2048</v>
      </c>
      <c r="G632" t="s">
        <v>56</v>
      </c>
      <c r="H632" t="s">
        <v>2049</v>
      </c>
      <c r="I632" t="s">
        <v>2050</v>
      </c>
      <c r="J632" t="s">
        <v>59</v>
      </c>
      <c r="K632" t="s">
        <v>1138</v>
      </c>
      <c r="L632" t="s">
        <v>61</v>
      </c>
      <c r="M632" t="s">
        <v>62</v>
      </c>
      <c r="N632" t="s">
        <v>62</v>
      </c>
      <c r="O632" t="s">
        <v>1933</v>
      </c>
      <c r="P632" t="s">
        <v>1934</v>
      </c>
      <c r="Q632" s="5">
        <v>1</v>
      </c>
      <c r="R632" s="6">
        <v>326.95999999999998</v>
      </c>
      <c r="S632" s="6">
        <v>326.95999999999998</v>
      </c>
      <c r="T632" s="6">
        <v>97.2</v>
      </c>
      <c r="U632" s="3">
        <v>46245.208333333343</v>
      </c>
      <c r="W632" t="s">
        <v>2051</v>
      </c>
      <c r="X632" t="s">
        <v>70</v>
      </c>
      <c r="Y632" t="s">
        <v>68</v>
      </c>
      <c r="Z632" t="s">
        <v>69</v>
      </c>
      <c r="AA632" t="s">
        <v>69</v>
      </c>
      <c r="AB632" t="s">
        <v>67</v>
      </c>
      <c r="AC632" t="s">
        <v>70</v>
      </c>
      <c r="AD632" t="s">
        <v>71</v>
      </c>
      <c r="AE632" t="s">
        <v>185</v>
      </c>
      <c r="AF632" t="s">
        <v>67</v>
      </c>
      <c r="AG632" t="s">
        <v>1935</v>
      </c>
      <c r="AH632" t="b">
        <v>0</v>
      </c>
      <c r="AI632" t="b">
        <v>1</v>
      </c>
      <c r="AJ632" t="b">
        <v>1</v>
      </c>
      <c r="AK632" t="b">
        <v>1</v>
      </c>
      <c r="AL632" s="6">
        <v>97.2</v>
      </c>
      <c r="AM632" s="3">
        <v>46245.208333333343</v>
      </c>
      <c r="AN632">
        <v>1</v>
      </c>
      <c r="AO632" s="3"/>
      <c r="AT632" t="b">
        <v>0</v>
      </c>
      <c r="AU632" t="s">
        <v>74</v>
      </c>
      <c r="AV632" t="b">
        <v>1</v>
      </c>
      <c r="AW632" t="b">
        <v>0</v>
      </c>
      <c r="AX632" s="5">
        <v>0</v>
      </c>
      <c r="AY632" s="3"/>
      <c r="AZ632" t="s">
        <v>67</v>
      </c>
      <c r="BA632" t="s">
        <v>67</v>
      </c>
      <c r="BB632" t="s">
        <v>317</v>
      </c>
    </row>
    <row r="633" spans="1:54" x14ac:dyDescent="0.3">
      <c r="A633">
        <v>1</v>
      </c>
      <c r="B633">
        <v>15</v>
      </c>
      <c r="C633" t="s">
        <v>54</v>
      </c>
      <c r="D633" s="3">
        <v>46217.689027777778</v>
      </c>
      <c r="E633" s="8">
        <v>46217</v>
      </c>
      <c r="F633" t="s">
        <v>2048</v>
      </c>
      <c r="G633" t="s">
        <v>56</v>
      </c>
      <c r="H633" t="s">
        <v>2049</v>
      </c>
      <c r="I633" t="s">
        <v>2050</v>
      </c>
      <c r="J633" t="s">
        <v>59</v>
      </c>
      <c r="K633" t="s">
        <v>1138</v>
      </c>
      <c r="L633" t="s">
        <v>61</v>
      </c>
      <c r="M633" t="s">
        <v>62</v>
      </c>
      <c r="N633" t="s">
        <v>62</v>
      </c>
      <c r="O633" t="s">
        <v>2052</v>
      </c>
      <c r="P633" t="s">
        <v>2053</v>
      </c>
      <c r="Q633" s="5">
        <v>1</v>
      </c>
      <c r="R633" s="6">
        <v>326.95999999999998</v>
      </c>
      <c r="S633" s="6">
        <v>326.95999999999998</v>
      </c>
      <c r="T633" s="6">
        <v>97.2</v>
      </c>
      <c r="U633" s="3">
        <v>46245.208333333343</v>
      </c>
      <c r="W633" t="s">
        <v>2051</v>
      </c>
      <c r="X633" t="s">
        <v>70</v>
      </c>
      <c r="Y633" t="s">
        <v>68</v>
      </c>
      <c r="Z633" t="s">
        <v>69</v>
      </c>
      <c r="AA633" t="s">
        <v>69</v>
      </c>
      <c r="AB633" t="s">
        <v>67</v>
      </c>
      <c r="AC633" t="s">
        <v>70</v>
      </c>
      <c r="AD633" t="s">
        <v>71</v>
      </c>
      <c r="AE633" t="s">
        <v>185</v>
      </c>
      <c r="AF633" t="s">
        <v>67</v>
      </c>
      <c r="AG633" t="s">
        <v>2054</v>
      </c>
      <c r="AH633" t="b">
        <v>0</v>
      </c>
      <c r="AI633" t="b">
        <v>1</v>
      </c>
      <c r="AJ633" t="b">
        <v>1</v>
      </c>
      <c r="AK633" t="b">
        <v>1</v>
      </c>
      <c r="AL633" s="6">
        <v>97.2</v>
      </c>
      <c r="AM633" s="3">
        <v>46245.208333333343</v>
      </c>
      <c r="AN633">
        <v>1</v>
      </c>
      <c r="AO633" s="3"/>
      <c r="AT633" t="b">
        <v>0</v>
      </c>
      <c r="AU633" t="s">
        <v>74</v>
      </c>
      <c r="AV633" t="b">
        <v>1</v>
      </c>
      <c r="AW633" t="b">
        <v>0</v>
      </c>
      <c r="AX633" s="5">
        <v>0</v>
      </c>
      <c r="AY633" s="3"/>
      <c r="AZ633" t="s">
        <v>67</v>
      </c>
      <c r="BA633" t="s">
        <v>67</v>
      </c>
      <c r="BB633" t="s">
        <v>317</v>
      </c>
    </row>
    <row r="634" spans="1:54" x14ac:dyDescent="0.3">
      <c r="A634">
        <v>1</v>
      </c>
      <c r="B634">
        <v>15</v>
      </c>
      <c r="C634" t="s">
        <v>54</v>
      </c>
      <c r="D634" s="3">
        <v>46217.689027777778</v>
      </c>
      <c r="E634" s="8">
        <v>46217</v>
      </c>
      <c r="F634" t="s">
        <v>2048</v>
      </c>
      <c r="G634" t="s">
        <v>56</v>
      </c>
      <c r="H634" t="s">
        <v>2049</v>
      </c>
      <c r="I634" t="s">
        <v>2050</v>
      </c>
      <c r="J634" t="s">
        <v>59</v>
      </c>
      <c r="K634" t="s">
        <v>1138</v>
      </c>
      <c r="L634" t="s">
        <v>61</v>
      </c>
      <c r="M634" t="s">
        <v>62</v>
      </c>
      <c r="N634" t="s">
        <v>62</v>
      </c>
      <c r="O634" t="s">
        <v>1250</v>
      </c>
      <c r="P634" t="s">
        <v>1251</v>
      </c>
      <c r="Q634" s="5">
        <v>2</v>
      </c>
      <c r="R634" s="6">
        <v>64.66</v>
      </c>
      <c r="S634" s="6">
        <v>129.32</v>
      </c>
      <c r="T634" s="6">
        <v>38.4</v>
      </c>
      <c r="U634" s="3">
        <v>46245.208333333343</v>
      </c>
      <c r="W634" t="s">
        <v>2051</v>
      </c>
      <c r="X634" t="s">
        <v>70</v>
      </c>
      <c r="Y634" t="s">
        <v>68</v>
      </c>
      <c r="Z634" t="s">
        <v>69</v>
      </c>
      <c r="AA634" t="s">
        <v>69</v>
      </c>
      <c r="AB634" t="s">
        <v>67</v>
      </c>
      <c r="AC634" t="s">
        <v>70</v>
      </c>
      <c r="AD634" t="s">
        <v>71</v>
      </c>
      <c r="AE634" t="s">
        <v>185</v>
      </c>
      <c r="AF634" t="s">
        <v>67</v>
      </c>
      <c r="AG634" t="s">
        <v>1252</v>
      </c>
      <c r="AH634" t="b">
        <v>0</v>
      </c>
      <c r="AI634" t="b">
        <v>1</v>
      </c>
      <c r="AJ634" t="b">
        <v>1</v>
      </c>
      <c r="AK634" t="b">
        <v>1</v>
      </c>
      <c r="AL634" s="6">
        <v>19.2</v>
      </c>
      <c r="AM634" s="3">
        <v>46245.208333333343</v>
      </c>
      <c r="AN634">
        <v>1</v>
      </c>
      <c r="AO634" s="3"/>
      <c r="AT634" t="b">
        <v>0</v>
      </c>
      <c r="AU634" t="s">
        <v>74</v>
      </c>
      <c r="AV634" t="b">
        <v>1</v>
      </c>
      <c r="AW634" t="b">
        <v>0</v>
      </c>
      <c r="AX634" s="5">
        <v>0</v>
      </c>
      <c r="AY634" s="3"/>
      <c r="AZ634" t="s">
        <v>67</v>
      </c>
      <c r="BA634" t="s">
        <v>67</v>
      </c>
      <c r="BB634" t="s">
        <v>317</v>
      </c>
    </row>
    <row r="635" spans="1:54" x14ac:dyDescent="0.3">
      <c r="A635">
        <v>1</v>
      </c>
      <c r="B635">
        <v>15</v>
      </c>
      <c r="C635" t="s">
        <v>54</v>
      </c>
      <c r="D635" s="3">
        <v>46217.689027777778</v>
      </c>
      <c r="E635" s="8">
        <v>46217</v>
      </c>
      <c r="F635" t="s">
        <v>2048</v>
      </c>
      <c r="G635" t="s">
        <v>56</v>
      </c>
      <c r="H635" t="s">
        <v>2049</v>
      </c>
      <c r="I635" t="s">
        <v>2050</v>
      </c>
      <c r="J635" t="s">
        <v>59</v>
      </c>
      <c r="K635" t="s">
        <v>1138</v>
      </c>
      <c r="L635" t="s">
        <v>61</v>
      </c>
      <c r="M635" t="s">
        <v>62</v>
      </c>
      <c r="N635" t="s">
        <v>62</v>
      </c>
      <c r="O635" t="s">
        <v>1936</v>
      </c>
      <c r="P635" t="s">
        <v>1937</v>
      </c>
      <c r="Q635" s="5">
        <v>2</v>
      </c>
      <c r="R635" s="6">
        <v>64.66</v>
      </c>
      <c r="S635" s="6">
        <v>129.32</v>
      </c>
      <c r="T635" s="6">
        <v>38.4</v>
      </c>
      <c r="U635" s="3">
        <v>46245.208333333343</v>
      </c>
      <c r="W635" t="s">
        <v>2051</v>
      </c>
      <c r="X635" t="s">
        <v>70</v>
      </c>
      <c r="Y635" t="s">
        <v>68</v>
      </c>
      <c r="Z635" t="s">
        <v>69</v>
      </c>
      <c r="AA635" t="s">
        <v>69</v>
      </c>
      <c r="AB635" t="s">
        <v>67</v>
      </c>
      <c r="AC635" t="s">
        <v>70</v>
      </c>
      <c r="AD635" t="s">
        <v>71</v>
      </c>
      <c r="AE635" t="s">
        <v>185</v>
      </c>
      <c r="AF635" t="s">
        <v>67</v>
      </c>
      <c r="AG635" t="s">
        <v>1938</v>
      </c>
      <c r="AH635" t="b">
        <v>0</v>
      </c>
      <c r="AI635" t="b">
        <v>1</v>
      </c>
      <c r="AJ635" t="b">
        <v>1</v>
      </c>
      <c r="AK635" t="b">
        <v>1</v>
      </c>
      <c r="AL635" s="6">
        <v>19.2</v>
      </c>
      <c r="AM635" s="3">
        <v>46245.208333333343</v>
      </c>
      <c r="AN635">
        <v>1</v>
      </c>
      <c r="AO635" s="3"/>
      <c r="AT635" t="b">
        <v>0</v>
      </c>
      <c r="AU635" t="s">
        <v>74</v>
      </c>
      <c r="AV635" t="b">
        <v>1</v>
      </c>
      <c r="AW635" t="b">
        <v>0</v>
      </c>
      <c r="AX635" s="5">
        <v>0</v>
      </c>
      <c r="AY635" s="3"/>
      <c r="AZ635" t="s">
        <v>67</v>
      </c>
      <c r="BA635" t="s">
        <v>67</v>
      </c>
      <c r="BB635" t="s">
        <v>317</v>
      </c>
    </row>
    <row r="636" spans="1:54" x14ac:dyDescent="0.3">
      <c r="A636">
        <v>1</v>
      </c>
      <c r="B636">
        <v>15</v>
      </c>
      <c r="C636" t="s">
        <v>54</v>
      </c>
      <c r="D636" s="3">
        <v>46217.689027777778</v>
      </c>
      <c r="E636" s="8">
        <v>46217</v>
      </c>
      <c r="F636" t="s">
        <v>2048</v>
      </c>
      <c r="G636" t="s">
        <v>56</v>
      </c>
      <c r="H636" t="s">
        <v>2049</v>
      </c>
      <c r="I636" t="s">
        <v>2050</v>
      </c>
      <c r="J636" t="s">
        <v>59</v>
      </c>
      <c r="K636" t="s">
        <v>1138</v>
      </c>
      <c r="L636" t="s">
        <v>61</v>
      </c>
      <c r="M636" t="s">
        <v>62</v>
      </c>
      <c r="N636" t="s">
        <v>62</v>
      </c>
      <c r="O636" t="s">
        <v>2055</v>
      </c>
      <c r="P636" t="s">
        <v>2056</v>
      </c>
      <c r="Q636" s="5">
        <v>2</v>
      </c>
      <c r="R636" s="6">
        <v>64</v>
      </c>
      <c r="S636" s="6">
        <v>128</v>
      </c>
      <c r="T636" s="6">
        <v>46.4</v>
      </c>
      <c r="U636" s="3">
        <v>46245.208333333343</v>
      </c>
      <c r="W636" t="s">
        <v>2051</v>
      </c>
      <c r="X636" t="s">
        <v>70</v>
      </c>
      <c r="Y636" t="s">
        <v>68</v>
      </c>
      <c r="Z636" t="s">
        <v>69</v>
      </c>
      <c r="AA636" t="s">
        <v>69</v>
      </c>
      <c r="AB636" t="s">
        <v>67</v>
      </c>
      <c r="AC636" t="s">
        <v>70</v>
      </c>
      <c r="AD636" t="s">
        <v>71</v>
      </c>
      <c r="AE636" t="s">
        <v>185</v>
      </c>
      <c r="AF636" t="s">
        <v>67</v>
      </c>
      <c r="AG636" t="s">
        <v>2057</v>
      </c>
      <c r="AH636" t="b">
        <v>0</v>
      </c>
      <c r="AI636" t="b">
        <v>1</v>
      </c>
      <c r="AJ636" t="b">
        <v>1</v>
      </c>
      <c r="AK636" t="b">
        <v>1</v>
      </c>
      <c r="AL636" s="6">
        <v>23.2</v>
      </c>
      <c r="AM636" s="3">
        <v>46245.208333333343</v>
      </c>
      <c r="AN636">
        <v>1</v>
      </c>
      <c r="AO636" s="3"/>
      <c r="AT636" t="b">
        <v>0</v>
      </c>
      <c r="AU636" t="s">
        <v>74</v>
      </c>
      <c r="AV636" t="b">
        <v>1</v>
      </c>
      <c r="AW636" t="b">
        <v>0</v>
      </c>
      <c r="AX636" s="5">
        <v>0</v>
      </c>
      <c r="AY636" s="3"/>
      <c r="AZ636" t="s">
        <v>67</v>
      </c>
      <c r="BA636" t="s">
        <v>67</v>
      </c>
      <c r="BB636" t="s">
        <v>317</v>
      </c>
    </row>
    <row r="637" spans="1:54" x14ac:dyDescent="0.3">
      <c r="A637">
        <v>1</v>
      </c>
      <c r="B637">
        <v>15</v>
      </c>
      <c r="C637" t="s">
        <v>54</v>
      </c>
      <c r="D637" s="3">
        <v>46217.689027777778</v>
      </c>
      <c r="E637" s="8">
        <v>46217</v>
      </c>
      <c r="F637" t="s">
        <v>2048</v>
      </c>
      <c r="G637" t="s">
        <v>56</v>
      </c>
      <c r="H637" t="s">
        <v>2049</v>
      </c>
      <c r="I637" t="s">
        <v>2050</v>
      </c>
      <c r="J637" t="s">
        <v>59</v>
      </c>
      <c r="K637" t="s">
        <v>1138</v>
      </c>
      <c r="L637" t="s">
        <v>61</v>
      </c>
      <c r="M637" t="s">
        <v>62</v>
      </c>
      <c r="N637" t="s">
        <v>62</v>
      </c>
      <c r="O637" t="s">
        <v>1962</v>
      </c>
      <c r="P637" t="s">
        <v>1963</v>
      </c>
      <c r="Q637" s="5">
        <v>2</v>
      </c>
      <c r="R637" s="6">
        <v>78.08</v>
      </c>
      <c r="S637" s="6">
        <v>156.16</v>
      </c>
      <c r="T637" s="6">
        <v>46.4</v>
      </c>
      <c r="U637" s="3">
        <v>46245.208333333343</v>
      </c>
      <c r="W637" t="s">
        <v>2051</v>
      </c>
      <c r="X637" t="s">
        <v>70</v>
      </c>
      <c r="Y637" t="s">
        <v>68</v>
      </c>
      <c r="Z637" t="s">
        <v>69</v>
      </c>
      <c r="AA637" t="s">
        <v>69</v>
      </c>
      <c r="AB637" t="s">
        <v>67</v>
      </c>
      <c r="AC637" t="s">
        <v>70</v>
      </c>
      <c r="AD637" t="s">
        <v>71</v>
      </c>
      <c r="AE637" t="s">
        <v>185</v>
      </c>
      <c r="AF637" t="s">
        <v>67</v>
      </c>
      <c r="AG637" t="s">
        <v>1964</v>
      </c>
      <c r="AH637" t="b">
        <v>0</v>
      </c>
      <c r="AI637" t="b">
        <v>1</v>
      </c>
      <c r="AJ637" t="b">
        <v>1</v>
      </c>
      <c r="AK637" t="b">
        <v>1</v>
      </c>
      <c r="AL637" s="6">
        <v>23.2</v>
      </c>
      <c r="AM637" s="3">
        <v>46245.208333333343</v>
      </c>
      <c r="AN637">
        <v>1</v>
      </c>
      <c r="AO637" s="3"/>
      <c r="AT637" t="b">
        <v>0</v>
      </c>
      <c r="AU637" t="s">
        <v>74</v>
      </c>
      <c r="AV637" t="b">
        <v>1</v>
      </c>
      <c r="AW637" t="b">
        <v>0</v>
      </c>
      <c r="AX637" s="5">
        <v>0</v>
      </c>
      <c r="AY637" s="3"/>
      <c r="AZ637" t="s">
        <v>67</v>
      </c>
      <c r="BA637" t="s">
        <v>67</v>
      </c>
      <c r="BB637" t="s">
        <v>317</v>
      </c>
    </row>
    <row r="638" spans="1:54" x14ac:dyDescent="0.3">
      <c r="A638">
        <v>1</v>
      </c>
      <c r="B638">
        <v>15</v>
      </c>
      <c r="C638" t="s">
        <v>54</v>
      </c>
      <c r="D638" s="3">
        <v>46217.689027777778</v>
      </c>
      <c r="E638" s="8">
        <v>46217</v>
      </c>
      <c r="F638" t="s">
        <v>2048</v>
      </c>
      <c r="G638" t="s">
        <v>56</v>
      </c>
      <c r="H638" t="s">
        <v>2049</v>
      </c>
      <c r="I638" t="s">
        <v>2050</v>
      </c>
      <c r="J638" t="s">
        <v>59</v>
      </c>
      <c r="K638" t="s">
        <v>1138</v>
      </c>
      <c r="L638" t="s">
        <v>61</v>
      </c>
      <c r="M638" t="s">
        <v>62</v>
      </c>
      <c r="N638" t="s">
        <v>62</v>
      </c>
      <c r="O638" t="s">
        <v>1945</v>
      </c>
      <c r="P638" t="s">
        <v>1946</v>
      </c>
      <c r="Q638" s="5">
        <v>2</v>
      </c>
      <c r="R638" s="6">
        <v>319.64</v>
      </c>
      <c r="S638" s="6">
        <v>639.28</v>
      </c>
      <c r="T638" s="6">
        <v>190.4</v>
      </c>
      <c r="U638" s="3">
        <v>46245.208333333343</v>
      </c>
      <c r="W638" t="s">
        <v>2051</v>
      </c>
      <c r="X638" t="s">
        <v>70</v>
      </c>
      <c r="Y638" t="s">
        <v>68</v>
      </c>
      <c r="Z638" t="s">
        <v>69</v>
      </c>
      <c r="AA638" t="s">
        <v>69</v>
      </c>
      <c r="AB638" t="s">
        <v>67</v>
      </c>
      <c r="AC638" t="s">
        <v>70</v>
      </c>
      <c r="AD638" t="s">
        <v>71</v>
      </c>
      <c r="AE638" t="s">
        <v>185</v>
      </c>
      <c r="AF638" t="s">
        <v>67</v>
      </c>
      <c r="AG638" t="s">
        <v>1947</v>
      </c>
      <c r="AH638" t="b">
        <v>0</v>
      </c>
      <c r="AI638" t="b">
        <v>1</v>
      </c>
      <c r="AJ638" t="b">
        <v>1</v>
      </c>
      <c r="AK638" t="b">
        <v>1</v>
      </c>
      <c r="AL638" s="6">
        <v>95.2</v>
      </c>
      <c r="AM638" s="3">
        <v>46245.208333333343</v>
      </c>
      <c r="AN638">
        <v>1</v>
      </c>
      <c r="AO638" s="3"/>
      <c r="AT638" t="b">
        <v>0</v>
      </c>
      <c r="AU638" t="s">
        <v>74</v>
      </c>
      <c r="AV638" t="b">
        <v>1</v>
      </c>
      <c r="AW638" t="b">
        <v>0</v>
      </c>
      <c r="AX638" s="5">
        <v>0</v>
      </c>
      <c r="AY638" s="3"/>
      <c r="AZ638" t="s">
        <v>67</v>
      </c>
      <c r="BA638" t="s">
        <v>67</v>
      </c>
      <c r="BB638" t="s">
        <v>317</v>
      </c>
    </row>
    <row r="639" spans="1:54" x14ac:dyDescent="0.3">
      <c r="A639">
        <v>1</v>
      </c>
      <c r="B639">
        <v>15</v>
      </c>
      <c r="C639" t="s">
        <v>54</v>
      </c>
      <c r="D639" s="3">
        <v>46217.689027777778</v>
      </c>
      <c r="E639" s="8">
        <v>46217</v>
      </c>
      <c r="F639" t="s">
        <v>2048</v>
      </c>
      <c r="G639" t="s">
        <v>56</v>
      </c>
      <c r="H639" t="s">
        <v>2049</v>
      </c>
      <c r="I639" t="s">
        <v>2050</v>
      </c>
      <c r="J639" t="s">
        <v>59</v>
      </c>
      <c r="K639" t="s">
        <v>1138</v>
      </c>
      <c r="L639" t="s">
        <v>61</v>
      </c>
      <c r="M639" t="s">
        <v>62</v>
      </c>
      <c r="N639" t="s">
        <v>62</v>
      </c>
      <c r="O639" t="s">
        <v>1256</v>
      </c>
      <c r="P639" t="s">
        <v>1257</v>
      </c>
      <c r="Q639" s="5">
        <v>2</v>
      </c>
      <c r="R639" s="6">
        <v>96.38</v>
      </c>
      <c r="S639" s="6">
        <v>192.76</v>
      </c>
      <c r="T639" s="6">
        <v>56.8</v>
      </c>
      <c r="U639" s="3">
        <v>46245.208333333343</v>
      </c>
      <c r="W639" t="s">
        <v>2051</v>
      </c>
      <c r="X639" t="s">
        <v>70</v>
      </c>
      <c r="Y639" t="s">
        <v>68</v>
      </c>
      <c r="Z639" t="s">
        <v>69</v>
      </c>
      <c r="AA639" t="s">
        <v>69</v>
      </c>
      <c r="AB639" t="s">
        <v>67</v>
      </c>
      <c r="AC639" t="s">
        <v>70</v>
      </c>
      <c r="AD639" t="s">
        <v>71</v>
      </c>
      <c r="AE639" t="s">
        <v>185</v>
      </c>
      <c r="AF639" t="s">
        <v>67</v>
      </c>
      <c r="AG639" t="s">
        <v>1258</v>
      </c>
      <c r="AH639" t="b">
        <v>0</v>
      </c>
      <c r="AI639" t="b">
        <v>1</v>
      </c>
      <c r="AJ639" t="b">
        <v>1</v>
      </c>
      <c r="AK639" t="b">
        <v>1</v>
      </c>
      <c r="AL639" s="6">
        <v>28.4</v>
      </c>
      <c r="AM639" s="3">
        <v>46245.208333333343</v>
      </c>
      <c r="AN639">
        <v>1</v>
      </c>
      <c r="AO639" s="3"/>
      <c r="AT639" t="b">
        <v>0</v>
      </c>
      <c r="AU639" t="s">
        <v>74</v>
      </c>
      <c r="AV639" t="b">
        <v>1</v>
      </c>
      <c r="AW639" t="b">
        <v>0</v>
      </c>
      <c r="AX639" s="5">
        <v>0</v>
      </c>
      <c r="AY639" s="3"/>
      <c r="AZ639" t="s">
        <v>67</v>
      </c>
      <c r="BA639" t="s">
        <v>67</v>
      </c>
      <c r="BB639" t="s">
        <v>317</v>
      </c>
    </row>
    <row r="640" spans="1:54" x14ac:dyDescent="0.3">
      <c r="A640">
        <v>1</v>
      </c>
      <c r="B640">
        <v>15</v>
      </c>
      <c r="C640" t="s">
        <v>54</v>
      </c>
      <c r="D640" s="3">
        <v>46217.689027777778</v>
      </c>
      <c r="E640" s="8">
        <v>46217</v>
      </c>
      <c r="F640" t="s">
        <v>2048</v>
      </c>
      <c r="G640" t="s">
        <v>56</v>
      </c>
      <c r="H640" t="s">
        <v>2049</v>
      </c>
      <c r="I640" t="s">
        <v>2050</v>
      </c>
      <c r="J640" t="s">
        <v>59</v>
      </c>
      <c r="K640" t="s">
        <v>1138</v>
      </c>
      <c r="L640" t="s">
        <v>61</v>
      </c>
      <c r="M640" t="s">
        <v>62</v>
      </c>
      <c r="N640" t="s">
        <v>62</v>
      </c>
      <c r="O640" t="s">
        <v>1971</v>
      </c>
      <c r="P640" t="s">
        <v>1972</v>
      </c>
      <c r="Q640" s="5">
        <v>2</v>
      </c>
      <c r="R640" s="6">
        <v>96.38</v>
      </c>
      <c r="S640" s="6">
        <v>192.76</v>
      </c>
      <c r="T640" s="6">
        <v>56.8</v>
      </c>
      <c r="U640" s="3">
        <v>46245.208333333343</v>
      </c>
      <c r="W640" t="s">
        <v>2051</v>
      </c>
      <c r="X640" t="s">
        <v>70</v>
      </c>
      <c r="Y640" t="s">
        <v>68</v>
      </c>
      <c r="Z640" t="s">
        <v>69</v>
      </c>
      <c r="AA640" t="s">
        <v>69</v>
      </c>
      <c r="AB640" t="s">
        <v>67</v>
      </c>
      <c r="AC640" t="s">
        <v>70</v>
      </c>
      <c r="AD640" t="s">
        <v>71</v>
      </c>
      <c r="AE640" t="s">
        <v>185</v>
      </c>
      <c r="AF640" t="s">
        <v>67</v>
      </c>
      <c r="AG640" t="s">
        <v>1973</v>
      </c>
      <c r="AH640" t="b">
        <v>0</v>
      </c>
      <c r="AI640" t="b">
        <v>1</v>
      </c>
      <c r="AJ640" t="b">
        <v>1</v>
      </c>
      <c r="AK640" t="b">
        <v>1</v>
      </c>
      <c r="AL640" s="6">
        <v>28.4</v>
      </c>
      <c r="AM640" s="3">
        <v>46245.208333333343</v>
      </c>
      <c r="AN640">
        <v>1</v>
      </c>
      <c r="AO640" s="3"/>
      <c r="AT640" t="b">
        <v>0</v>
      </c>
      <c r="AU640" t="s">
        <v>74</v>
      </c>
      <c r="AV640" t="b">
        <v>1</v>
      </c>
      <c r="AW640" t="b">
        <v>0</v>
      </c>
      <c r="AX640" s="5">
        <v>0</v>
      </c>
      <c r="AY640" s="3"/>
      <c r="AZ640" t="s">
        <v>67</v>
      </c>
      <c r="BA640" t="s">
        <v>67</v>
      </c>
      <c r="BB640" t="s">
        <v>317</v>
      </c>
    </row>
    <row r="641" spans="1:54" x14ac:dyDescent="0.3">
      <c r="A641">
        <v>1</v>
      </c>
      <c r="B641">
        <v>15</v>
      </c>
      <c r="C641" t="s">
        <v>54</v>
      </c>
      <c r="D641" s="3">
        <v>46217.689027777778</v>
      </c>
      <c r="E641" s="8">
        <v>46217</v>
      </c>
      <c r="F641" t="s">
        <v>2048</v>
      </c>
      <c r="G641" t="s">
        <v>56</v>
      </c>
      <c r="H641" t="s">
        <v>2049</v>
      </c>
      <c r="I641" t="s">
        <v>2050</v>
      </c>
      <c r="J641" t="s">
        <v>59</v>
      </c>
      <c r="K641" t="s">
        <v>1138</v>
      </c>
      <c r="L641" t="s">
        <v>61</v>
      </c>
      <c r="M641" t="s">
        <v>62</v>
      </c>
      <c r="N641" t="s">
        <v>62</v>
      </c>
      <c r="O641" t="s">
        <v>1259</v>
      </c>
      <c r="P641" t="s">
        <v>1260</v>
      </c>
      <c r="Q641" s="5">
        <v>2</v>
      </c>
      <c r="R641" s="6">
        <v>84.18</v>
      </c>
      <c r="S641" s="6">
        <v>168.36</v>
      </c>
      <c r="T641" s="6">
        <v>49.6</v>
      </c>
      <c r="U641" s="3">
        <v>46245.208333333343</v>
      </c>
      <c r="W641" t="s">
        <v>2051</v>
      </c>
      <c r="X641" t="s">
        <v>70</v>
      </c>
      <c r="Y641" t="s">
        <v>68</v>
      </c>
      <c r="Z641" t="s">
        <v>69</v>
      </c>
      <c r="AA641" t="s">
        <v>69</v>
      </c>
      <c r="AB641" t="s">
        <v>67</v>
      </c>
      <c r="AC641" t="s">
        <v>70</v>
      </c>
      <c r="AD641" t="s">
        <v>71</v>
      </c>
      <c r="AE641" t="s">
        <v>185</v>
      </c>
      <c r="AF641" t="s">
        <v>67</v>
      </c>
      <c r="AG641" t="s">
        <v>1261</v>
      </c>
      <c r="AH641" t="b">
        <v>0</v>
      </c>
      <c r="AI641" t="b">
        <v>1</v>
      </c>
      <c r="AJ641" t="b">
        <v>1</v>
      </c>
      <c r="AK641" t="b">
        <v>1</v>
      </c>
      <c r="AL641" s="6">
        <v>24.8</v>
      </c>
      <c r="AM641" s="3">
        <v>46245.208333333343</v>
      </c>
      <c r="AN641">
        <v>1</v>
      </c>
      <c r="AO641" s="3"/>
      <c r="AT641" t="b">
        <v>0</v>
      </c>
      <c r="AU641" t="s">
        <v>74</v>
      </c>
      <c r="AV641" t="b">
        <v>1</v>
      </c>
      <c r="AW641" t="b">
        <v>0</v>
      </c>
      <c r="AX641" s="5">
        <v>0</v>
      </c>
      <c r="AY641" s="3"/>
      <c r="AZ641" t="s">
        <v>67</v>
      </c>
      <c r="BA641" t="s">
        <v>67</v>
      </c>
      <c r="BB641" t="s">
        <v>317</v>
      </c>
    </row>
    <row r="642" spans="1:54" x14ac:dyDescent="0.3">
      <c r="A642">
        <v>1</v>
      </c>
      <c r="B642">
        <v>15</v>
      </c>
      <c r="C642" t="s">
        <v>54</v>
      </c>
      <c r="D642" s="3">
        <v>46217.689027777778</v>
      </c>
      <c r="E642" s="8">
        <v>46217</v>
      </c>
      <c r="F642" t="s">
        <v>2048</v>
      </c>
      <c r="G642" t="s">
        <v>56</v>
      </c>
      <c r="H642" t="s">
        <v>2049</v>
      </c>
      <c r="I642" t="s">
        <v>2050</v>
      </c>
      <c r="J642" t="s">
        <v>59</v>
      </c>
      <c r="K642" t="s">
        <v>1138</v>
      </c>
      <c r="L642" t="s">
        <v>61</v>
      </c>
      <c r="M642" t="s">
        <v>62</v>
      </c>
      <c r="N642" t="s">
        <v>62</v>
      </c>
      <c r="O642" t="s">
        <v>1951</v>
      </c>
      <c r="P642" t="s">
        <v>1952</v>
      </c>
      <c r="Q642" s="5">
        <v>2</v>
      </c>
      <c r="R642" s="6">
        <v>84.18</v>
      </c>
      <c r="S642" s="6">
        <v>168.36</v>
      </c>
      <c r="T642" s="6">
        <v>49.6</v>
      </c>
      <c r="U642" s="3">
        <v>46245.208333333343</v>
      </c>
      <c r="W642" t="s">
        <v>2051</v>
      </c>
      <c r="X642" t="s">
        <v>70</v>
      </c>
      <c r="Y642" t="s">
        <v>68</v>
      </c>
      <c r="Z642" t="s">
        <v>69</v>
      </c>
      <c r="AA642" t="s">
        <v>69</v>
      </c>
      <c r="AB642" t="s">
        <v>67</v>
      </c>
      <c r="AC642" t="s">
        <v>70</v>
      </c>
      <c r="AD642" t="s">
        <v>71</v>
      </c>
      <c r="AE642" t="s">
        <v>185</v>
      </c>
      <c r="AF642" t="s">
        <v>67</v>
      </c>
      <c r="AG642" t="s">
        <v>1953</v>
      </c>
      <c r="AH642" t="b">
        <v>0</v>
      </c>
      <c r="AI642" t="b">
        <v>1</v>
      </c>
      <c r="AJ642" t="b">
        <v>1</v>
      </c>
      <c r="AK642" t="b">
        <v>1</v>
      </c>
      <c r="AL642" s="6">
        <v>24.8</v>
      </c>
      <c r="AM642" s="3">
        <v>46245.208333333343</v>
      </c>
      <c r="AN642">
        <v>1</v>
      </c>
      <c r="AO642" s="3"/>
      <c r="AT642" t="b">
        <v>0</v>
      </c>
      <c r="AU642" t="s">
        <v>74</v>
      </c>
      <c r="AV642" t="b">
        <v>1</v>
      </c>
      <c r="AW642" t="b">
        <v>0</v>
      </c>
      <c r="AX642" s="5">
        <v>0</v>
      </c>
      <c r="AY642" s="3"/>
      <c r="AZ642" t="s">
        <v>67</v>
      </c>
      <c r="BA642" t="s">
        <v>67</v>
      </c>
      <c r="BB642" t="s">
        <v>317</v>
      </c>
    </row>
    <row r="643" spans="1:54" x14ac:dyDescent="0.3">
      <c r="A643">
        <v>1</v>
      </c>
      <c r="B643">
        <v>15</v>
      </c>
      <c r="C643" t="s">
        <v>54</v>
      </c>
      <c r="D643" s="3">
        <v>46225.375393518523</v>
      </c>
      <c r="E643" s="8">
        <v>46225</v>
      </c>
      <c r="F643" t="s">
        <v>2058</v>
      </c>
      <c r="G643" t="s">
        <v>56</v>
      </c>
      <c r="H643" t="s">
        <v>1052</v>
      </c>
      <c r="I643" t="s">
        <v>1053</v>
      </c>
      <c r="J643" t="s">
        <v>363</v>
      </c>
      <c r="K643" t="s">
        <v>1054</v>
      </c>
      <c r="L643" t="s">
        <v>1896</v>
      </c>
      <c r="M643" t="s">
        <v>366</v>
      </c>
      <c r="N643" t="s">
        <v>366</v>
      </c>
      <c r="O643" t="s">
        <v>2059</v>
      </c>
      <c r="P643" t="s">
        <v>2060</v>
      </c>
      <c r="Q643" s="5">
        <v>1</v>
      </c>
      <c r="R643" s="6">
        <v>25</v>
      </c>
      <c r="S643" s="6">
        <v>25</v>
      </c>
      <c r="T643" s="6">
        <v>9.8800000000000008</v>
      </c>
      <c r="U643" s="3">
        <v>46316.208333333343</v>
      </c>
      <c r="W643" t="s">
        <v>1057</v>
      </c>
      <c r="X643" t="s">
        <v>67</v>
      </c>
      <c r="Y643" t="s">
        <v>68</v>
      </c>
      <c r="Z643" t="s">
        <v>521</v>
      </c>
      <c r="AA643" t="s">
        <v>522</v>
      </c>
      <c r="AB643" t="s">
        <v>70</v>
      </c>
      <c r="AC643" t="s">
        <v>70</v>
      </c>
      <c r="AD643" t="s">
        <v>370</v>
      </c>
      <c r="AE643" t="s">
        <v>371</v>
      </c>
      <c r="AF643" t="s">
        <v>67</v>
      </c>
      <c r="AG643" t="s">
        <v>2059</v>
      </c>
      <c r="AH643" t="b">
        <v>0</v>
      </c>
      <c r="AI643" t="b">
        <v>0</v>
      </c>
      <c r="AJ643" t="b">
        <v>0</v>
      </c>
      <c r="AK643" t="b">
        <v>0</v>
      </c>
      <c r="AL643" s="6">
        <v>9.8800000000000008</v>
      </c>
      <c r="AM643" s="3">
        <v>46316.208333333343</v>
      </c>
      <c r="AN643">
        <v>1</v>
      </c>
      <c r="AO643" s="3"/>
      <c r="AT643" t="b">
        <v>0</v>
      </c>
      <c r="AU643" t="s">
        <v>74</v>
      </c>
      <c r="AV643" t="b">
        <v>1</v>
      </c>
      <c r="AW643" t="b">
        <v>0</v>
      </c>
      <c r="AX643" s="5">
        <v>0</v>
      </c>
      <c r="AY643" s="3"/>
      <c r="AZ643" t="s">
        <v>67</v>
      </c>
      <c r="BA643" t="s">
        <v>67</v>
      </c>
      <c r="BB643" t="s">
        <v>317</v>
      </c>
    </row>
    <row r="644" spans="1:54" x14ac:dyDescent="0.3">
      <c r="A644">
        <v>1</v>
      </c>
      <c r="B644">
        <v>15</v>
      </c>
      <c r="C644" t="s">
        <v>54</v>
      </c>
      <c r="D644" s="3">
        <v>46225.375393518523</v>
      </c>
      <c r="E644" s="8">
        <v>46225</v>
      </c>
      <c r="F644" t="s">
        <v>2058</v>
      </c>
      <c r="G644" t="s">
        <v>56</v>
      </c>
      <c r="H644" t="s">
        <v>1052</v>
      </c>
      <c r="I644" t="s">
        <v>1053</v>
      </c>
      <c r="J644" t="s">
        <v>363</v>
      </c>
      <c r="K644" t="s">
        <v>1054</v>
      </c>
      <c r="L644" t="s">
        <v>1896</v>
      </c>
      <c r="M644" t="s">
        <v>366</v>
      </c>
      <c r="N644" t="s">
        <v>366</v>
      </c>
      <c r="O644" t="s">
        <v>1055</v>
      </c>
      <c r="P644" t="s">
        <v>1056</v>
      </c>
      <c r="Q644" s="5">
        <v>1</v>
      </c>
      <c r="R644" s="6">
        <v>25</v>
      </c>
      <c r="S644" s="6">
        <v>25</v>
      </c>
      <c r="T644" s="6">
        <v>9.8800000000000008</v>
      </c>
      <c r="U644" s="3">
        <v>46316.208333333343</v>
      </c>
      <c r="W644" t="s">
        <v>1057</v>
      </c>
      <c r="X644" t="s">
        <v>67</v>
      </c>
      <c r="Y644" t="s">
        <v>68</v>
      </c>
      <c r="Z644" t="s">
        <v>521</v>
      </c>
      <c r="AA644" t="s">
        <v>522</v>
      </c>
      <c r="AB644" t="s">
        <v>70</v>
      </c>
      <c r="AC644" t="s">
        <v>70</v>
      </c>
      <c r="AD644" t="s">
        <v>370</v>
      </c>
      <c r="AE644" t="s">
        <v>371</v>
      </c>
      <c r="AF644" t="s">
        <v>67</v>
      </c>
      <c r="AG644" t="s">
        <v>1055</v>
      </c>
      <c r="AH644" t="b">
        <v>0</v>
      </c>
      <c r="AI644" t="b">
        <v>0</v>
      </c>
      <c r="AJ644" t="b">
        <v>0</v>
      </c>
      <c r="AK644" t="b">
        <v>0</v>
      </c>
      <c r="AL644" s="6">
        <v>9.8800000000000008</v>
      </c>
      <c r="AM644" s="3">
        <v>46316.208333333343</v>
      </c>
      <c r="AN644">
        <v>1</v>
      </c>
      <c r="AO644" s="3"/>
      <c r="AT644" t="b">
        <v>0</v>
      </c>
      <c r="AU644" t="s">
        <v>74</v>
      </c>
      <c r="AV644" t="b">
        <v>1</v>
      </c>
      <c r="AW644" t="b">
        <v>0</v>
      </c>
      <c r="AX644" s="5">
        <v>0</v>
      </c>
      <c r="AY644" s="3"/>
      <c r="AZ644" t="s">
        <v>67</v>
      </c>
      <c r="BA644" t="s">
        <v>67</v>
      </c>
      <c r="BB644" t="s">
        <v>317</v>
      </c>
    </row>
    <row r="645" spans="1:54" x14ac:dyDescent="0.3">
      <c r="A645">
        <v>1</v>
      </c>
      <c r="B645">
        <v>15</v>
      </c>
      <c r="C645" t="s">
        <v>54</v>
      </c>
      <c r="D645" s="3">
        <v>46225.376180555562</v>
      </c>
      <c r="E645" s="8">
        <v>46225</v>
      </c>
      <c r="F645" t="s">
        <v>2061</v>
      </c>
      <c r="G645" t="s">
        <v>56</v>
      </c>
      <c r="H645" t="s">
        <v>2062</v>
      </c>
      <c r="I645" t="s">
        <v>2063</v>
      </c>
      <c r="J645" t="s">
        <v>363</v>
      </c>
      <c r="K645" t="s">
        <v>2038</v>
      </c>
      <c r="L645" t="s">
        <v>1279</v>
      </c>
      <c r="M645" t="s">
        <v>366</v>
      </c>
      <c r="N645" t="s">
        <v>366</v>
      </c>
      <c r="O645" t="s">
        <v>1033</v>
      </c>
      <c r="P645" t="s">
        <v>1034</v>
      </c>
      <c r="Q645" s="5">
        <v>1</v>
      </c>
      <c r="R645" s="6">
        <v>25</v>
      </c>
      <c r="S645" s="6">
        <v>25</v>
      </c>
      <c r="T645" s="6">
        <v>9.8800000000000008</v>
      </c>
      <c r="U645" s="3">
        <v>46316.25</v>
      </c>
      <c r="W645" t="s">
        <v>2064</v>
      </c>
      <c r="X645" t="s">
        <v>67</v>
      </c>
      <c r="Y645" t="s">
        <v>68</v>
      </c>
      <c r="Z645" t="s">
        <v>521</v>
      </c>
      <c r="AA645" t="s">
        <v>522</v>
      </c>
      <c r="AB645" t="s">
        <v>67</v>
      </c>
      <c r="AC645" t="s">
        <v>70</v>
      </c>
      <c r="AD645" t="s">
        <v>370</v>
      </c>
      <c r="AE645" t="s">
        <v>371</v>
      </c>
      <c r="AF645" t="s">
        <v>67</v>
      </c>
      <c r="AG645" t="s">
        <v>1033</v>
      </c>
      <c r="AH645" t="b">
        <v>0</v>
      </c>
      <c r="AI645" t="b">
        <v>0</v>
      </c>
      <c r="AJ645" t="b">
        <v>0</v>
      </c>
      <c r="AK645" t="b">
        <v>0</v>
      </c>
      <c r="AL645" s="6">
        <v>9.8800000000000008</v>
      </c>
      <c r="AM645" s="3">
        <v>46316.25</v>
      </c>
      <c r="AN645">
        <v>1</v>
      </c>
      <c r="AO645" s="3"/>
      <c r="AT645" t="b">
        <v>0</v>
      </c>
      <c r="AU645" t="s">
        <v>74</v>
      </c>
      <c r="AV645" t="b">
        <v>1</v>
      </c>
      <c r="AW645" t="b">
        <v>0</v>
      </c>
      <c r="AX645" s="5">
        <v>0</v>
      </c>
      <c r="AY645" s="3"/>
      <c r="AZ645" t="s">
        <v>67</v>
      </c>
      <c r="BA645" t="s">
        <v>67</v>
      </c>
      <c r="BB645" t="s">
        <v>317</v>
      </c>
    </row>
    <row r="646" spans="1:54" x14ac:dyDescent="0.3">
      <c r="A646">
        <v>1</v>
      </c>
      <c r="B646">
        <v>15</v>
      </c>
      <c r="C646" t="s">
        <v>54</v>
      </c>
      <c r="D646" s="3">
        <v>46225.376180555562</v>
      </c>
      <c r="E646" s="8">
        <v>46225</v>
      </c>
      <c r="F646" t="s">
        <v>2061</v>
      </c>
      <c r="G646" t="s">
        <v>56</v>
      </c>
      <c r="H646" t="s">
        <v>2062</v>
      </c>
      <c r="I646" t="s">
        <v>2063</v>
      </c>
      <c r="J646" t="s">
        <v>363</v>
      </c>
      <c r="K646" t="s">
        <v>2038</v>
      </c>
      <c r="L646" t="s">
        <v>1279</v>
      </c>
      <c r="M646" t="s">
        <v>366</v>
      </c>
      <c r="N646" t="s">
        <v>366</v>
      </c>
      <c r="O646" t="s">
        <v>1055</v>
      </c>
      <c r="P646" t="s">
        <v>1056</v>
      </c>
      <c r="Q646" s="5">
        <v>1</v>
      </c>
      <c r="R646" s="6">
        <v>25</v>
      </c>
      <c r="S646" s="6">
        <v>25</v>
      </c>
      <c r="T646" s="6">
        <v>9.8800000000000008</v>
      </c>
      <c r="U646" s="3">
        <v>46316.25</v>
      </c>
      <c r="W646" t="s">
        <v>2064</v>
      </c>
      <c r="X646" t="s">
        <v>67</v>
      </c>
      <c r="Y646" t="s">
        <v>68</v>
      </c>
      <c r="Z646" t="s">
        <v>521</v>
      </c>
      <c r="AA646" t="s">
        <v>522</v>
      </c>
      <c r="AB646" t="s">
        <v>67</v>
      </c>
      <c r="AC646" t="s">
        <v>70</v>
      </c>
      <c r="AD646" t="s">
        <v>370</v>
      </c>
      <c r="AE646" t="s">
        <v>371</v>
      </c>
      <c r="AF646" t="s">
        <v>67</v>
      </c>
      <c r="AG646" t="s">
        <v>1055</v>
      </c>
      <c r="AH646" t="b">
        <v>0</v>
      </c>
      <c r="AI646" t="b">
        <v>0</v>
      </c>
      <c r="AJ646" t="b">
        <v>0</v>
      </c>
      <c r="AK646" t="b">
        <v>0</v>
      </c>
      <c r="AL646" s="6">
        <v>9.8800000000000008</v>
      </c>
      <c r="AM646" s="3">
        <v>46316.25</v>
      </c>
      <c r="AN646">
        <v>1</v>
      </c>
      <c r="AO646" s="3"/>
      <c r="AT646" t="b">
        <v>0</v>
      </c>
      <c r="AU646" t="s">
        <v>74</v>
      </c>
      <c r="AV646" t="b">
        <v>1</v>
      </c>
      <c r="AW646" t="b">
        <v>0</v>
      </c>
      <c r="AX646" s="5">
        <v>0</v>
      </c>
      <c r="AY646" s="3"/>
      <c r="AZ646" t="s">
        <v>67</v>
      </c>
      <c r="BA646" t="s">
        <v>67</v>
      </c>
      <c r="BB646" t="s">
        <v>317</v>
      </c>
    </row>
    <row r="647" spans="1:54" x14ac:dyDescent="0.3">
      <c r="A647">
        <v>1</v>
      </c>
      <c r="B647">
        <v>15</v>
      </c>
      <c r="C647" t="s">
        <v>54</v>
      </c>
      <c r="D647" s="3">
        <v>46239.473981481482</v>
      </c>
      <c r="E647" s="8">
        <v>46239</v>
      </c>
      <c r="F647" t="s">
        <v>2065</v>
      </c>
      <c r="G647" t="s">
        <v>56</v>
      </c>
      <c r="H647" t="s">
        <v>2066</v>
      </c>
      <c r="I647" t="s">
        <v>2067</v>
      </c>
      <c r="J647" t="s">
        <v>230</v>
      </c>
      <c r="K647" t="s">
        <v>2068</v>
      </c>
      <c r="L647" t="s">
        <v>299</v>
      </c>
      <c r="M647" t="s">
        <v>232</v>
      </c>
      <c r="O647" t="s">
        <v>233</v>
      </c>
      <c r="P647" t="s">
        <v>234</v>
      </c>
      <c r="Q647" s="5">
        <v>1</v>
      </c>
      <c r="R647" s="6">
        <v>190</v>
      </c>
      <c r="S647" s="6">
        <v>190</v>
      </c>
      <c r="T647" s="6">
        <v>126.55</v>
      </c>
      <c r="U647" s="3">
        <v>46261.479166666657</v>
      </c>
      <c r="W647" t="s">
        <v>2069</v>
      </c>
      <c r="X647" t="s">
        <v>67</v>
      </c>
      <c r="Y647" t="s">
        <v>68</v>
      </c>
      <c r="Z647" t="s">
        <v>69</v>
      </c>
      <c r="AA647" t="s">
        <v>69</v>
      </c>
      <c r="AB647" t="s">
        <v>67</v>
      </c>
      <c r="AC647" t="s">
        <v>70</v>
      </c>
      <c r="AD647" t="s">
        <v>235</v>
      </c>
      <c r="AE647" t="s">
        <v>236</v>
      </c>
      <c r="AF647" t="s">
        <v>67</v>
      </c>
      <c r="AG647" t="s">
        <v>233</v>
      </c>
      <c r="AH647" t="b">
        <v>0</v>
      </c>
      <c r="AI647" t="b">
        <v>0</v>
      </c>
      <c r="AJ647" t="b">
        <v>0</v>
      </c>
      <c r="AK647" t="b">
        <v>0</v>
      </c>
      <c r="AL647" s="6">
        <v>126.55</v>
      </c>
      <c r="AM647" s="3">
        <v>46261.479166666657</v>
      </c>
      <c r="AN647">
        <v>1</v>
      </c>
      <c r="AO647" s="3"/>
      <c r="AT647" t="b">
        <v>0</v>
      </c>
      <c r="AU647" t="s">
        <v>74</v>
      </c>
      <c r="AV647" t="b">
        <v>1</v>
      </c>
      <c r="AW647" t="b">
        <v>0</v>
      </c>
      <c r="AX647" s="5">
        <v>0</v>
      </c>
      <c r="AY647" s="3"/>
      <c r="AZ647" t="s">
        <v>67</v>
      </c>
      <c r="BA647" t="s">
        <v>67</v>
      </c>
      <c r="BB647" t="s">
        <v>317</v>
      </c>
    </row>
    <row r="648" spans="1:54" x14ac:dyDescent="0.3">
      <c r="A648">
        <v>1</v>
      </c>
      <c r="B648">
        <v>15</v>
      </c>
      <c r="C648" t="s">
        <v>54</v>
      </c>
      <c r="D648" s="3">
        <v>46242.413935185177</v>
      </c>
      <c r="E648" s="8">
        <v>46248</v>
      </c>
      <c r="F648" t="s">
        <v>2070</v>
      </c>
      <c r="G648" t="s">
        <v>56</v>
      </c>
      <c r="H648" t="s">
        <v>2071</v>
      </c>
      <c r="I648" t="s">
        <v>2072</v>
      </c>
      <c r="J648" t="s">
        <v>749</v>
      </c>
      <c r="L648" t="s">
        <v>1071</v>
      </c>
      <c r="M648" t="s">
        <v>97</v>
      </c>
      <c r="N648" t="s">
        <v>97</v>
      </c>
      <c r="O648" t="s">
        <v>2073</v>
      </c>
      <c r="P648" t="s">
        <v>2074</v>
      </c>
      <c r="Q648" s="5">
        <v>1</v>
      </c>
      <c r="R648" s="6">
        <v>719</v>
      </c>
      <c r="S648" s="6">
        <v>719</v>
      </c>
      <c r="T648" s="6">
        <v>449</v>
      </c>
      <c r="U648" s="3">
        <v>46248.31527777778</v>
      </c>
      <c r="W648" t="s">
        <v>2075</v>
      </c>
      <c r="X648" t="s">
        <v>70</v>
      </c>
      <c r="Y648" t="s">
        <v>23</v>
      </c>
      <c r="Z648" t="s">
        <v>69</v>
      </c>
      <c r="AA648" t="s">
        <v>69</v>
      </c>
      <c r="AB648" t="s">
        <v>67</v>
      </c>
      <c r="AC648" t="s">
        <v>70</v>
      </c>
      <c r="AD648" t="s">
        <v>101</v>
      </c>
      <c r="AF648" t="s">
        <v>67</v>
      </c>
      <c r="AH648" t="b">
        <v>0</v>
      </c>
      <c r="AI648" t="b">
        <v>0</v>
      </c>
      <c r="AJ648" t="b">
        <v>0</v>
      </c>
      <c r="AK648" t="b">
        <v>0</v>
      </c>
      <c r="AL648" s="6">
        <v>449</v>
      </c>
      <c r="AM648" s="3">
        <v>46242.229166666657</v>
      </c>
      <c r="AN648">
        <v>1</v>
      </c>
      <c r="AO648" s="3"/>
      <c r="AT648" t="b">
        <v>0</v>
      </c>
      <c r="AU648" t="s">
        <v>74</v>
      </c>
      <c r="AV648" t="b">
        <v>1</v>
      </c>
      <c r="AW648" t="b">
        <v>0</v>
      </c>
      <c r="AX648" s="5">
        <v>0</v>
      </c>
      <c r="AY648" s="3"/>
      <c r="AZ648" t="s">
        <v>67</v>
      </c>
      <c r="BA648" t="s">
        <v>67</v>
      </c>
      <c r="BB648" t="s">
        <v>317</v>
      </c>
    </row>
    <row r="649" spans="1:54" x14ac:dyDescent="0.3">
      <c r="A649">
        <v>1</v>
      </c>
      <c r="B649">
        <v>15</v>
      </c>
      <c r="C649" t="s">
        <v>54</v>
      </c>
      <c r="D649" s="3">
        <v>46242.413935185177</v>
      </c>
      <c r="E649" s="8">
        <v>46248</v>
      </c>
      <c r="F649" t="s">
        <v>2070</v>
      </c>
      <c r="G649" t="s">
        <v>56</v>
      </c>
      <c r="H649" t="s">
        <v>2071</v>
      </c>
      <c r="I649" t="s">
        <v>2072</v>
      </c>
      <c r="J649" t="s">
        <v>749</v>
      </c>
      <c r="L649" t="s">
        <v>1071</v>
      </c>
      <c r="M649" t="s">
        <v>97</v>
      </c>
      <c r="N649" t="s">
        <v>97</v>
      </c>
      <c r="O649" t="s">
        <v>283</v>
      </c>
      <c r="P649" t="s">
        <v>284</v>
      </c>
      <c r="Q649" s="5">
        <v>1</v>
      </c>
      <c r="R649" s="6">
        <v>1120</v>
      </c>
      <c r="S649" s="6">
        <v>1120</v>
      </c>
      <c r="T649" s="6">
        <v>700</v>
      </c>
      <c r="U649" s="3">
        <v>46248.31527777778</v>
      </c>
      <c r="W649" t="s">
        <v>2075</v>
      </c>
      <c r="X649" t="s">
        <v>70</v>
      </c>
      <c r="Y649" t="s">
        <v>23</v>
      </c>
      <c r="Z649" t="s">
        <v>69</v>
      </c>
      <c r="AA649" t="s">
        <v>69</v>
      </c>
      <c r="AB649" t="s">
        <v>67</v>
      </c>
      <c r="AC649" t="s">
        <v>70</v>
      </c>
      <c r="AD649" t="s">
        <v>101</v>
      </c>
      <c r="AE649" t="s">
        <v>102</v>
      </c>
      <c r="AF649" t="s">
        <v>67</v>
      </c>
      <c r="AH649" t="b">
        <v>0</v>
      </c>
      <c r="AI649" t="b">
        <v>0</v>
      </c>
      <c r="AJ649" t="b">
        <v>0</v>
      </c>
      <c r="AK649" t="b">
        <v>0</v>
      </c>
      <c r="AL649" s="6">
        <v>700</v>
      </c>
      <c r="AM649" s="3">
        <v>46242.229166666657</v>
      </c>
      <c r="AN649">
        <v>1</v>
      </c>
      <c r="AO649" s="3"/>
      <c r="AT649" t="b">
        <v>0</v>
      </c>
      <c r="AU649" t="s">
        <v>74</v>
      </c>
      <c r="AV649" t="b">
        <v>1</v>
      </c>
      <c r="AW649" t="b">
        <v>0</v>
      </c>
      <c r="AX649" s="5">
        <v>0</v>
      </c>
      <c r="AY649" s="3"/>
      <c r="AZ649" t="s">
        <v>67</v>
      </c>
      <c r="BA649" t="s">
        <v>67</v>
      </c>
      <c r="BB649" t="s">
        <v>317</v>
      </c>
    </row>
    <row r="650" spans="1:54" x14ac:dyDescent="0.3">
      <c r="A650">
        <v>1</v>
      </c>
      <c r="B650">
        <v>15</v>
      </c>
      <c r="C650" t="s">
        <v>54</v>
      </c>
      <c r="D650" s="3">
        <v>46242.440821759257</v>
      </c>
      <c r="E650" s="8">
        <v>46242</v>
      </c>
      <c r="F650" t="s">
        <v>2076</v>
      </c>
      <c r="G650" t="s">
        <v>56</v>
      </c>
      <c r="H650" t="s">
        <v>2077</v>
      </c>
      <c r="I650" t="s">
        <v>2078</v>
      </c>
      <c r="J650" t="s">
        <v>749</v>
      </c>
      <c r="K650" t="s">
        <v>2079</v>
      </c>
      <c r="L650" t="s">
        <v>1071</v>
      </c>
      <c r="M650" t="s">
        <v>97</v>
      </c>
      <c r="N650" t="s">
        <v>97</v>
      </c>
      <c r="O650" t="s">
        <v>98</v>
      </c>
      <c r="P650" t="s">
        <v>99</v>
      </c>
      <c r="Q650" s="5">
        <v>1</v>
      </c>
      <c r="R650" s="6">
        <v>736</v>
      </c>
      <c r="S650" s="6">
        <v>736</v>
      </c>
      <c r="T650" s="6">
        <v>460</v>
      </c>
      <c r="U650" s="3">
        <v>46302.458333333343</v>
      </c>
      <c r="W650" t="s">
        <v>2080</v>
      </c>
      <c r="X650" t="s">
        <v>70</v>
      </c>
      <c r="Y650" t="s">
        <v>23</v>
      </c>
      <c r="Z650" t="s">
        <v>69</v>
      </c>
      <c r="AA650" t="s">
        <v>69</v>
      </c>
      <c r="AB650" t="s">
        <v>67</v>
      </c>
      <c r="AC650" t="s">
        <v>70</v>
      </c>
      <c r="AD650" t="s">
        <v>101</v>
      </c>
      <c r="AE650" t="s">
        <v>102</v>
      </c>
      <c r="AF650" t="s">
        <v>67</v>
      </c>
      <c r="AH650" t="b">
        <v>0</v>
      </c>
      <c r="AI650" t="b">
        <v>0</v>
      </c>
      <c r="AJ650" t="b">
        <v>0</v>
      </c>
      <c r="AK650" t="b">
        <v>0</v>
      </c>
      <c r="AL650" s="6">
        <v>460</v>
      </c>
      <c r="AM650" s="3">
        <v>46297.25</v>
      </c>
      <c r="AN650">
        <v>1</v>
      </c>
      <c r="AO650" s="3"/>
      <c r="AT650" t="b">
        <v>0</v>
      </c>
      <c r="AU650" t="s">
        <v>74</v>
      </c>
      <c r="AV650" t="b">
        <v>1</v>
      </c>
      <c r="AW650" t="b">
        <v>0</v>
      </c>
      <c r="AX650" s="5">
        <v>0</v>
      </c>
      <c r="AY650" s="3"/>
      <c r="AZ650" t="s">
        <v>67</v>
      </c>
      <c r="BA650" t="s">
        <v>67</v>
      </c>
      <c r="BB650" t="s">
        <v>317</v>
      </c>
    </row>
    <row r="651" spans="1:54" x14ac:dyDescent="0.3">
      <c r="A651">
        <v>1</v>
      </c>
      <c r="B651">
        <v>15</v>
      </c>
      <c r="C651" t="s">
        <v>54</v>
      </c>
      <c r="D651" s="3">
        <v>46242.440821759257</v>
      </c>
      <c r="E651" s="8">
        <v>46242</v>
      </c>
      <c r="F651" t="s">
        <v>2076</v>
      </c>
      <c r="G651" t="s">
        <v>56</v>
      </c>
      <c r="H651" t="s">
        <v>2077</v>
      </c>
      <c r="I651" t="s">
        <v>2078</v>
      </c>
      <c r="J651" t="s">
        <v>749</v>
      </c>
      <c r="K651" t="s">
        <v>2079</v>
      </c>
      <c r="L651" t="s">
        <v>1071</v>
      </c>
      <c r="M651" t="s">
        <v>97</v>
      </c>
      <c r="N651" t="s">
        <v>97</v>
      </c>
      <c r="O651" t="s">
        <v>197</v>
      </c>
      <c r="P651" t="s">
        <v>198</v>
      </c>
      <c r="Q651" s="5">
        <v>1</v>
      </c>
      <c r="R651" s="6">
        <v>640</v>
      </c>
      <c r="S651" s="6">
        <v>640</v>
      </c>
      <c r="T651" s="6">
        <v>400</v>
      </c>
      <c r="U651" s="3">
        <v>46302.458333333343</v>
      </c>
      <c r="W651" t="s">
        <v>2080</v>
      </c>
      <c r="X651" t="s">
        <v>70</v>
      </c>
      <c r="Y651" t="s">
        <v>23</v>
      </c>
      <c r="Z651" t="s">
        <v>69</v>
      </c>
      <c r="AA651" t="s">
        <v>69</v>
      </c>
      <c r="AB651" t="s">
        <v>67</v>
      </c>
      <c r="AC651" t="s">
        <v>70</v>
      </c>
      <c r="AD651" t="s">
        <v>101</v>
      </c>
      <c r="AE651" t="s">
        <v>102</v>
      </c>
      <c r="AF651" t="s">
        <v>67</v>
      </c>
      <c r="AH651" t="b">
        <v>0</v>
      </c>
      <c r="AI651" t="b">
        <v>0</v>
      </c>
      <c r="AJ651" t="b">
        <v>0</v>
      </c>
      <c r="AK651" t="b">
        <v>0</v>
      </c>
      <c r="AL651" s="6">
        <v>400</v>
      </c>
      <c r="AM651" s="3">
        <v>46297.25</v>
      </c>
      <c r="AN651">
        <v>1</v>
      </c>
      <c r="AO651" s="3"/>
      <c r="AT651" t="b">
        <v>0</v>
      </c>
      <c r="AU651" t="s">
        <v>74</v>
      </c>
      <c r="AV651" t="b">
        <v>1</v>
      </c>
      <c r="AW651" t="b">
        <v>0</v>
      </c>
      <c r="AX651" s="5">
        <v>0</v>
      </c>
      <c r="AY651" s="3"/>
      <c r="AZ651" t="s">
        <v>67</v>
      </c>
      <c r="BA651" t="s">
        <v>67</v>
      </c>
      <c r="BB651" t="s">
        <v>317</v>
      </c>
    </row>
    <row r="652" spans="1:54" x14ac:dyDescent="0.3">
      <c r="A652">
        <v>1</v>
      </c>
      <c r="B652">
        <v>15</v>
      </c>
      <c r="C652" t="s">
        <v>54</v>
      </c>
      <c r="D652" s="3">
        <v>46242.440821759257</v>
      </c>
      <c r="E652" s="8">
        <v>46242</v>
      </c>
      <c r="F652" t="s">
        <v>2076</v>
      </c>
      <c r="G652" t="s">
        <v>56</v>
      </c>
      <c r="H652" t="s">
        <v>2077</v>
      </c>
      <c r="I652" t="s">
        <v>2078</v>
      </c>
      <c r="J652" t="s">
        <v>749</v>
      </c>
      <c r="K652" t="s">
        <v>2079</v>
      </c>
      <c r="L652" t="s">
        <v>1071</v>
      </c>
      <c r="M652" t="s">
        <v>97</v>
      </c>
      <c r="N652" t="s">
        <v>97</v>
      </c>
      <c r="O652" t="s">
        <v>1493</v>
      </c>
      <c r="P652" t="s">
        <v>1494</v>
      </c>
      <c r="Q652" s="5">
        <v>1</v>
      </c>
      <c r="R652" s="6">
        <v>97</v>
      </c>
      <c r="S652" s="6">
        <v>97</v>
      </c>
      <c r="T652" s="6">
        <v>34.96</v>
      </c>
      <c r="U652" s="3">
        <v>46302.458333333343</v>
      </c>
      <c r="W652" t="s">
        <v>2080</v>
      </c>
      <c r="X652" t="s">
        <v>70</v>
      </c>
      <c r="Y652" t="s">
        <v>68</v>
      </c>
      <c r="Z652" t="s">
        <v>69</v>
      </c>
      <c r="AA652" t="s">
        <v>69</v>
      </c>
      <c r="AB652" t="s">
        <v>67</v>
      </c>
      <c r="AC652" t="s">
        <v>70</v>
      </c>
      <c r="AD652" t="s">
        <v>101</v>
      </c>
      <c r="AE652" t="s">
        <v>220</v>
      </c>
      <c r="AF652" t="s">
        <v>67</v>
      </c>
      <c r="AG652" t="s">
        <v>1495</v>
      </c>
      <c r="AH652" t="b">
        <v>0</v>
      </c>
      <c r="AI652" t="b">
        <v>0</v>
      </c>
      <c r="AJ652" t="b">
        <v>0</v>
      </c>
      <c r="AK652" t="b">
        <v>0</v>
      </c>
      <c r="AL652" s="6">
        <v>34.96</v>
      </c>
      <c r="AM652" s="3">
        <v>46297.25</v>
      </c>
      <c r="AN652">
        <v>1</v>
      </c>
      <c r="AO652" s="3"/>
      <c r="AT652" t="b">
        <v>0</v>
      </c>
      <c r="AU652" t="s">
        <v>74</v>
      </c>
      <c r="AV652" t="b">
        <v>1</v>
      </c>
      <c r="AW652" t="b">
        <v>0</v>
      </c>
      <c r="AX652" s="5">
        <v>0</v>
      </c>
      <c r="AY652" s="3"/>
      <c r="AZ652" t="s">
        <v>67</v>
      </c>
      <c r="BA652" t="s">
        <v>67</v>
      </c>
      <c r="BB652" t="s">
        <v>317</v>
      </c>
    </row>
    <row r="653" spans="1:54" x14ac:dyDescent="0.3">
      <c r="A653">
        <v>1</v>
      </c>
      <c r="B653">
        <v>15</v>
      </c>
      <c r="C653" t="s">
        <v>54</v>
      </c>
      <c r="D653" s="3">
        <v>46242.440821759257</v>
      </c>
      <c r="E653" s="8">
        <v>46242</v>
      </c>
      <c r="F653" t="s">
        <v>2076</v>
      </c>
      <c r="G653" t="s">
        <v>56</v>
      </c>
      <c r="H653" t="s">
        <v>2077</v>
      </c>
      <c r="I653" t="s">
        <v>2078</v>
      </c>
      <c r="J653" t="s">
        <v>749</v>
      </c>
      <c r="K653" t="s">
        <v>2079</v>
      </c>
      <c r="L653" t="s">
        <v>1071</v>
      </c>
      <c r="M653" t="s">
        <v>97</v>
      </c>
      <c r="N653" t="s">
        <v>97</v>
      </c>
      <c r="O653" t="s">
        <v>2081</v>
      </c>
      <c r="P653" t="s">
        <v>2082</v>
      </c>
      <c r="Q653" s="5">
        <v>1</v>
      </c>
      <c r="R653" s="6">
        <v>262.5</v>
      </c>
      <c r="S653" s="6">
        <v>262.5</v>
      </c>
      <c r="T653" s="6">
        <v>63.48</v>
      </c>
      <c r="U653" s="3">
        <v>46302.458333333343</v>
      </c>
      <c r="W653" t="s">
        <v>2080</v>
      </c>
      <c r="X653" t="s">
        <v>70</v>
      </c>
      <c r="Y653" t="s">
        <v>68</v>
      </c>
      <c r="Z653" t="s">
        <v>69</v>
      </c>
      <c r="AA653" t="s">
        <v>69</v>
      </c>
      <c r="AB653" t="s">
        <v>67</v>
      </c>
      <c r="AC653" t="s">
        <v>70</v>
      </c>
      <c r="AD653" t="s">
        <v>101</v>
      </c>
      <c r="AE653" t="s">
        <v>220</v>
      </c>
      <c r="AF653" t="s">
        <v>67</v>
      </c>
      <c r="AG653" t="s">
        <v>2083</v>
      </c>
      <c r="AH653" t="b">
        <v>0</v>
      </c>
      <c r="AI653" t="b">
        <v>0</v>
      </c>
      <c r="AJ653" t="b">
        <v>0</v>
      </c>
      <c r="AK653" t="b">
        <v>0</v>
      </c>
      <c r="AL653" s="6">
        <v>63.48</v>
      </c>
      <c r="AM653" s="3">
        <v>46297.25</v>
      </c>
      <c r="AN653">
        <v>1</v>
      </c>
      <c r="AO653" s="3"/>
      <c r="AT653" t="b">
        <v>0</v>
      </c>
      <c r="AU653" t="s">
        <v>74</v>
      </c>
      <c r="AV653" t="b">
        <v>1</v>
      </c>
      <c r="AW653" t="b">
        <v>0</v>
      </c>
      <c r="AX653" s="5">
        <v>0</v>
      </c>
      <c r="AY653" s="3"/>
      <c r="AZ653" t="s">
        <v>67</v>
      </c>
      <c r="BA653" t="s">
        <v>67</v>
      </c>
      <c r="BB653" t="s">
        <v>317</v>
      </c>
    </row>
    <row r="654" spans="1:54" x14ac:dyDescent="0.3">
      <c r="A654">
        <v>1</v>
      </c>
      <c r="B654">
        <v>15</v>
      </c>
      <c r="C654" t="s">
        <v>54</v>
      </c>
      <c r="D654" s="3">
        <v>46242.440821759257</v>
      </c>
      <c r="E654" s="8">
        <v>46242</v>
      </c>
      <c r="F654" t="s">
        <v>2076</v>
      </c>
      <c r="G654" t="s">
        <v>56</v>
      </c>
      <c r="H654" t="s">
        <v>2077</v>
      </c>
      <c r="I654" t="s">
        <v>2078</v>
      </c>
      <c r="J654" t="s">
        <v>749</v>
      </c>
      <c r="K654" t="s">
        <v>2079</v>
      </c>
      <c r="L654" t="s">
        <v>1071</v>
      </c>
      <c r="M654" t="s">
        <v>97</v>
      </c>
      <c r="N654" t="s">
        <v>97</v>
      </c>
      <c r="O654" t="s">
        <v>2084</v>
      </c>
      <c r="P654" t="s">
        <v>2085</v>
      </c>
      <c r="Q654" s="5">
        <v>1</v>
      </c>
      <c r="R654" s="6">
        <v>57</v>
      </c>
      <c r="S654" s="6">
        <v>57</v>
      </c>
      <c r="T654" s="6">
        <v>13.8</v>
      </c>
      <c r="U654" s="3">
        <v>46302.458333333343</v>
      </c>
      <c r="W654" t="s">
        <v>2080</v>
      </c>
      <c r="X654" t="s">
        <v>70</v>
      </c>
      <c r="Y654" t="s">
        <v>68</v>
      </c>
      <c r="Z654" t="s">
        <v>69</v>
      </c>
      <c r="AA654" t="s">
        <v>69</v>
      </c>
      <c r="AB654" t="s">
        <v>67</v>
      </c>
      <c r="AC654" t="s">
        <v>70</v>
      </c>
      <c r="AD654" t="s">
        <v>101</v>
      </c>
      <c r="AE654" t="s">
        <v>220</v>
      </c>
      <c r="AF654" t="s">
        <v>67</v>
      </c>
      <c r="AG654" t="s">
        <v>2086</v>
      </c>
      <c r="AH654" t="b">
        <v>0</v>
      </c>
      <c r="AI654" t="b">
        <v>0</v>
      </c>
      <c r="AJ654" t="b">
        <v>0</v>
      </c>
      <c r="AK654" t="b">
        <v>0</v>
      </c>
      <c r="AL654" s="6">
        <v>13.8</v>
      </c>
      <c r="AM654" s="3">
        <v>46297.25</v>
      </c>
      <c r="AN654">
        <v>1</v>
      </c>
      <c r="AO654" s="3"/>
      <c r="AT654" t="b">
        <v>0</v>
      </c>
      <c r="AU654" t="s">
        <v>74</v>
      </c>
      <c r="AV654" t="b">
        <v>1</v>
      </c>
      <c r="AW654" t="b">
        <v>0</v>
      </c>
      <c r="AX654" s="5">
        <v>0</v>
      </c>
      <c r="AY654" s="3"/>
      <c r="AZ654" t="s">
        <v>67</v>
      </c>
      <c r="BA654" t="s">
        <v>67</v>
      </c>
      <c r="BB654" t="s">
        <v>317</v>
      </c>
    </row>
    <row r="655" spans="1:54" x14ac:dyDescent="0.3">
      <c r="A655">
        <v>1</v>
      </c>
      <c r="B655">
        <v>15</v>
      </c>
      <c r="C655" t="s">
        <v>54</v>
      </c>
      <c r="D655" s="3">
        <v>46242.440821759257</v>
      </c>
      <c r="E655" s="8">
        <v>46242</v>
      </c>
      <c r="F655" t="s">
        <v>2076</v>
      </c>
      <c r="G655" t="s">
        <v>56</v>
      </c>
      <c r="H655" t="s">
        <v>2077</v>
      </c>
      <c r="I655" t="s">
        <v>2078</v>
      </c>
      <c r="J655" t="s">
        <v>749</v>
      </c>
      <c r="K655" t="s">
        <v>2079</v>
      </c>
      <c r="L655" t="s">
        <v>1071</v>
      </c>
      <c r="M655" t="s">
        <v>97</v>
      </c>
      <c r="N655" t="s">
        <v>97</v>
      </c>
      <c r="O655" t="s">
        <v>1088</v>
      </c>
      <c r="P655" t="s">
        <v>1089</v>
      </c>
      <c r="Q655" s="5">
        <v>1</v>
      </c>
      <c r="R655" s="6">
        <v>84</v>
      </c>
      <c r="S655" s="6">
        <v>84</v>
      </c>
      <c r="T655" s="6">
        <v>20.239999999999998</v>
      </c>
      <c r="U655" s="3">
        <v>46302.458333333343</v>
      </c>
      <c r="W655" t="s">
        <v>2080</v>
      </c>
      <c r="X655" t="s">
        <v>70</v>
      </c>
      <c r="Y655" t="s">
        <v>68</v>
      </c>
      <c r="Z655" t="s">
        <v>69</v>
      </c>
      <c r="AA655" t="s">
        <v>69</v>
      </c>
      <c r="AB655" t="s">
        <v>67</v>
      </c>
      <c r="AC655" t="s">
        <v>70</v>
      </c>
      <c r="AD655" t="s">
        <v>101</v>
      </c>
      <c r="AE655" t="s">
        <v>220</v>
      </c>
      <c r="AF655" t="s">
        <v>67</v>
      </c>
      <c r="AG655" t="s">
        <v>1090</v>
      </c>
      <c r="AH655" t="b">
        <v>0</v>
      </c>
      <c r="AI655" t="b">
        <v>0</v>
      </c>
      <c r="AJ655" t="b">
        <v>0</v>
      </c>
      <c r="AK655" t="b">
        <v>0</v>
      </c>
      <c r="AL655" s="6">
        <v>20.239999999999998</v>
      </c>
      <c r="AM655" s="3">
        <v>46297.25</v>
      </c>
      <c r="AN655">
        <v>1</v>
      </c>
      <c r="AO655" s="3"/>
      <c r="AT655" t="b">
        <v>0</v>
      </c>
      <c r="AU655" t="s">
        <v>74</v>
      </c>
      <c r="AV655" t="b">
        <v>1</v>
      </c>
      <c r="AW655" t="b">
        <v>0</v>
      </c>
      <c r="AX655" s="5">
        <v>0</v>
      </c>
      <c r="AY655" s="3"/>
      <c r="AZ655" t="s">
        <v>67</v>
      </c>
      <c r="BA655" t="s">
        <v>67</v>
      </c>
      <c r="BB655" t="s">
        <v>317</v>
      </c>
    </row>
    <row r="656" spans="1:54" x14ac:dyDescent="0.3">
      <c r="A656">
        <v>1</v>
      </c>
      <c r="B656">
        <v>15</v>
      </c>
      <c r="C656" t="s">
        <v>54</v>
      </c>
      <c r="D656" s="3">
        <v>46242.440821759257</v>
      </c>
      <c r="E656" s="8">
        <v>46242</v>
      </c>
      <c r="F656" t="s">
        <v>2076</v>
      </c>
      <c r="G656" t="s">
        <v>56</v>
      </c>
      <c r="H656" t="s">
        <v>2077</v>
      </c>
      <c r="I656" t="s">
        <v>2078</v>
      </c>
      <c r="J656" t="s">
        <v>749</v>
      </c>
      <c r="K656" t="s">
        <v>2079</v>
      </c>
      <c r="L656" t="s">
        <v>1071</v>
      </c>
      <c r="M656" t="s">
        <v>97</v>
      </c>
      <c r="N656" t="s">
        <v>97</v>
      </c>
      <c r="O656" t="s">
        <v>1094</v>
      </c>
      <c r="P656" t="s">
        <v>1095</v>
      </c>
      <c r="Q656" s="5">
        <v>1</v>
      </c>
      <c r="R656" s="6">
        <v>91.5</v>
      </c>
      <c r="S656" s="6">
        <v>91.5</v>
      </c>
      <c r="T656" s="6">
        <v>22.08</v>
      </c>
      <c r="U656" s="3">
        <v>46302.458333333343</v>
      </c>
      <c r="W656" t="s">
        <v>2080</v>
      </c>
      <c r="X656" t="s">
        <v>70</v>
      </c>
      <c r="Y656" t="s">
        <v>68</v>
      </c>
      <c r="Z656" t="s">
        <v>69</v>
      </c>
      <c r="AA656" t="s">
        <v>69</v>
      </c>
      <c r="AB656" t="s">
        <v>67</v>
      </c>
      <c r="AC656" t="s">
        <v>70</v>
      </c>
      <c r="AD656" t="s">
        <v>101</v>
      </c>
      <c r="AE656" t="s">
        <v>220</v>
      </c>
      <c r="AF656" t="s">
        <v>67</v>
      </c>
      <c r="AG656" t="s">
        <v>1096</v>
      </c>
      <c r="AH656" t="b">
        <v>0</v>
      </c>
      <c r="AI656" t="b">
        <v>0</v>
      </c>
      <c r="AJ656" t="b">
        <v>0</v>
      </c>
      <c r="AK656" t="b">
        <v>0</v>
      </c>
      <c r="AL656" s="6">
        <v>22.08</v>
      </c>
      <c r="AM656" s="3">
        <v>46297.25</v>
      </c>
      <c r="AN656">
        <v>1</v>
      </c>
      <c r="AO656" s="3"/>
      <c r="AT656" t="b">
        <v>0</v>
      </c>
      <c r="AU656" t="s">
        <v>74</v>
      </c>
      <c r="AV656" t="b">
        <v>1</v>
      </c>
      <c r="AW656" t="b">
        <v>0</v>
      </c>
      <c r="AX656" s="5">
        <v>0</v>
      </c>
      <c r="AY656" s="3"/>
      <c r="AZ656" t="s">
        <v>67</v>
      </c>
      <c r="BA656" t="s">
        <v>67</v>
      </c>
      <c r="BB656" t="s">
        <v>317</v>
      </c>
    </row>
    <row r="657" spans="1:54" x14ac:dyDescent="0.3">
      <c r="A657">
        <v>1</v>
      </c>
      <c r="B657">
        <v>15</v>
      </c>
      <c r="C657" t="s">
        <v>54</v>
      </c>
      <c r="D657" s="3">
        <v>46245.534872685188</v>
      </c>
      <c r="E657" s="8">
        <v>46294</v>
      </c>
      <c r="F657" t="s">
        <v>2087</v>
      </c>
      <c r="G657" t="s">
        <v>56</v>
      </c>
      <c r="H657" t="s">
        <v>2088</v>
      </c>
      <c r="I657" t="s">
        <v>2089</v>
      </c>
      <c r="J657" t="s">
        <v>59</v>
      </c>
      <c r="L657" t="s">
        <v>224</v>
      </c>
      <c r="M657" t="s">
        <v>62</v>
      </c>
      <c r="N657" t="s">
        <v>62</v>
      </c>
      <c r="O657" t="s">
        <v>82</v>
      </c>
      <c r="P657" t="s">
        <v>83</v>
      </c>
      <c r="Q657" s="5">
        <v>1</v>
      </c>
      <c r="R657" s="6">
        <v>140</v>
      </c>
      <c r="S657" s="6">
        <v>140</v>
      </c>
      <c r="T657" s="6">
        <v>93.1</v>
      </c>
      <c r="U657" s="3">
        <v>46294.267361111109</v>
      </c>
      <c r="W657" t="s">
        <v>2090</v>
      </c>
      <c r="X657" t="s">
        <v>67</v>
      </c>
      <c r="Y657" t="s">
        <v>68</v>
      </c>
      <c r="Z657" t="s">
        <v>69</v>
      </c>
      <c r="AA657" t="s">
        <v>69</v>
      </c>
      <c r="AB657" t="s">
        <v>67</v>
      </c>
      <c r="AC657" t="s">
        <v>67</v>
      </c>
      <c r="AD657" t="s">
        <v>71</v>
      </c>
      <c r="AE657" t="s">
        <v>84</v>
      </c>
      <c r="AF657" t="s">
        <v>67</v>
      </c>
      <c r="AG657" t="s">
        <v>82</v>
      </c>
      <c r="AH657" t="b">
        <v>0</v>
      </c>
      <c r="AI657" t="b">
        <v>0</v>
      </c>
      <c r="AJ657" t="b">
        <v>0</v>
      </c>
      <c r="AK657" t="b">
        <v>0</v>
      </c>
      <c r="AL657" s="6">
        <v>93.1</v>
      </c>
      <c r="AM657" s="3">
        <v>46245.354166666657</v>
      </c>
      <c r="AN657">
        <v>1</v>
      </c>
      <c r="AO657" s="3"/>
      <c r="AT657" t="b">
        <v>0</v>
      </c>
      <c r="AU657" t="s">
        <v>74</v>
      </c>
      <c r="AV657" t="b">
        <v>1</v>
      </c>
      <c r="AW657" t="b">
        <v>0</v>
      </c>
      <c r="AX657" s="5">
        <v>0</v>
      </c>
      <c r="AY657" s="3"/>
      <c r="AZ657" t="s">
        <v>67</v>
      </c>
      <c r="BA657" t="s">
        <v>67</v>
      </c>
      <c r="BB657" t="s">
        <v>317</v>
      </c>
    </row>
    <row r="658" spans="1:54" x14ac:dyDescent="0.3">
      <c r="A658">
        <v>1</v>
      </c>
      <c r="B658">
        <v>15</v>
      </c>
      <c r="C658" t="s">
        <v>54</v>
      </c>
      <c r="D658" s="3">
        <v>46245.534872685188</v>
      </c>
      <c r="E658" s="8">
        <v>46294</v>
      </c>
      <c r="F658" t="s">
        <v>2087</v>
      </c>
      <c r="G658" t="s">
        <v>56</v>
      </c>
      <c r="H658" t="s">
        <v>2088</v>
      </c>
      <c r="I658" t="s">
        <v>2089</v>
      </c>
      <c r="J658" t="s">
        <v>59</v>
      </c>
      <c r="L658" t="s">
        <v>224</v>
      </c>
      <c r="M658" t="s">
        <v>62</v>
      </c>
      <c r="N658" t="s">
        <v>62</v>
      </c>
      <c r="O658" t="s">
        <v>2091</v>
      </c>
      <c r="P658" t="s">
        <v>2092</v>
      </c>
      <c r="Q658" s="5">
        <v>1</v>
      </c>
      <c r="R658" s="6">
        <v>192</v>
      </c>
      <c r="S658" s="6">
        <v>192</v>
      </c>
      <c r="T658" s="6">
        <v>127.4</v>
      </c>
      <c r="U658" s="3">
        <v>46294.267361111109</v>
      </c>
      <c r="W658" t="s">
        <v>2090</v>
      </c>
      <c r="X658" t="s">
        <v>67</v>
      </c>
      <c r="Y658" t="s">
        <v>68</v>
      </c>
      <c r="Z658" t="s">
        <v>69</v>
      </c>
      <c r="AA658" t="s">
        <v>69</v>
      </c>
      <c r="AB658" t="s">
        <v>67</v>
      </c>
      <c r="AC658" t="s">
        <v>67</v>
      </c>
      <c r="AD658" t="s">
        <v>71</v>
      </c>
      <c r="AE658" t="s">
        <v>72</v>
      </c>
      <c r="AF658" t="s">
        <v>67</v>
      </c>
      <c r="AG658" t="s">
        <v>2093</v>
      </c>
      <c r="AH658" t="b">
        <v>0</v>
      </c>
      <c r="AI658" t="b">
        <v>0</v>
      </c>
      <c r="AJ658" t="b">
        <v>0</v>
      </c>
      <c r="AK658" t="b">
        <v>0</v>
      </c>
      <c r="AL658" s="6">
        <v>127.4</v>
      </c>
      <c r="AM658" s="3">
        <v>46245.354166666657</v>
      </c>
      <c r="AN658">
        <v>1</v>
      </c>
      <c r="AO658" s="3"/>
      <c r="AT658" t="b">
        <v>0</v>
      </c>
      <c r="AU658" t="s">
        <v>74</v>
      </c>
      <c r="AV658" t="b">
        <v>1</v>
      </c>
      <c r="AW658" t="b">
        <v>0</v>
      </c>
      <c r="AX658" s="5">
        <v>0</v>
      </c>
      <c r="AY658" s="3"/>
      <c r="AZ658" t="s">
        <v>67</v>
      </c>
      <c r="BA658" t="s">
        <v>67</v>
      </c>
      <c r="BB658" t="s">
        <v>317</v>
      </c>
    </row>
    <row r="659" spans="1:54" x14ac:dyDescent="0.3">
      <c r="A659">
        <v>1</v>
      </c>
      <c r="B659">
        <v>15</v>
      </c>
      <c r="C659" t="s">
        <v>54</v>
      </c>
      <c r="D659" s="3">
        <v>46245.534872685188</v>
      </c>
      <c r="E659" s="8">
        <v>46294</v>
      </c>
      <c r="F659" t="s">
        <v>2087</v>
      </c>
      <c r="G659" t="s">
        <v>56</v>
      </c>
      <c r="H659" t="s">
        <v>2088</v>
      </c>
      <c r="I659" t="s">
        <v>2089</v>
      </c>
      <c r="J659" t="s">
        <v>59</v>
      </c>
      <c r="L659" t="s">
        <v>224</v>
      </c>
      <c r="M659" t="s">
        <v>62</v>
      </c>
      <c r="N659" t="s">
        <v>62</v>
      </c>
      <c r="O659" t="s">
        <v>126</v>
      </c>
      <c r="P659" t="s">
        <v>127</v>
      </c>
      <c r="Q659" s="5">
        <v>2</v>
      </c>
      <c r="R659" s="6">
        <v>520</v>
      </c>
      <c r="S659" s="6">
        <v>1040</v>
      </c>
      <c r="T659" s="6">
        <v>203.14</v>
      </c>
      <c r="U659" s="3">
        <v>46294.267361111109</v>
      </c>
      <c r="W659" t="s">
        <v>2090</v>
      </c>
      <c r="X659" t="s">
        <v>67</v>
      </c>
      <c r="Y659" t="s">
        <v>68</v>
      </c>
      <c r="Z659" t="s">
        <v>69</v>
      </c>
      <c r="AA659" t="s">
        <v>69</v>
      </c>
      <c r="AB659" t="s">
        <v>67</v>
      </c>
      <c r="AC659" t="s">
        <v>67</v>
      </c>
      <c r="AD659" t="s">
        <v>71</v>
      </c>
      <c r="AE659" t="s">
        <v>110</v>
      </c>
      <c r="AF659" t="s">
        <v>67</v>
      </c>
      <c r="AG659" t="s">
        <v>128</v>
      </c>
      <c r="AH659" t="b">
        <v>0</v>
      </c>
      <c r="AI659" t="b">
        <v>0</v>
      </c>
      <c r="AJ659" t="b">
        <v>0</v>
      </c>
      <c r="AK659" t="b">
        <v>0</v>
      </c>
      <c r="AL659" s="6">
        <v>101.57</v>
      </c>
      <c r="AM659" s="3">
        <v>46245.354166666657</v>
      </c>
      <c r="AN659">
        <v>1</v>
      </c>
      <c r="AO659" s="3"/>
      <c r="AT659" t="b">
        <v>0</v>
      </c>
      <c r="AU659" t="s">
        <v>74</v>
      </c>
      <c r="AV659" t="b">
        <v>1</v>
      </c>
      <c r="AW659" t="b">
        <v>0</v>
      </c>
      <c r="AX659" s="5">
        <v>0</v>
      </c>
      <c r="AY659" s="3"/>
      <c r="AZ659" t="s">
        <v>67</v>
      </c>
      <c r="BA659" t="s">
        <v>67</v>
      </c>
      <c r="BB659" t="s">
        <v>317</v>
      </c>
    </row>
    <row r="660" spans="1:54" x14ac:dyDescent="0.3">
      <c r="A660">
        <v>1</v>
      </c>
      <c r="B660">
        <v>15</v>
      </c>
      <c r="C660" t="s">
        <v>54</v>
      </c>
      <c r="D660" s="3">
        <v>46245.534872685188</v>
      </c>
      <c r="E660" s="8">
        <v>46294</v>
      </c>
      <c r="F660" t="s">
        <v>2087</v>
      </c>
      <c r="G660" t="s">
        <v>56</v>
      </c>
      <c r="H660" t="s">
        <v>2088</v>
      </c>
      <c r="I660" t="s">
        <v>2089</v>
      </c>
      <c r="J660" t="s">
        <v>59</v>
      </c>
      <c r="L660" t="s">
        <v>224</v>
      </c>
      <c r="M660" t="s">
        <v>62</v>
      </c>
      <c r="N660" t="s">
        <v>62</v>
      </c>
      <c r="O660" t="s">
        <v>2094</v>
      </c>
      <c r="P660" t="s">
        <v>2095</v>
      </c>
      <c r="Q660" s="5">
        <v>2</v>
      </c>
      <c r="R660" s="6">
        <v>117</v>
      </c>
      <c r="S660" s="6">
        <v>234</v>
      </c>
      <c r="T660" s="6">
        <v>84.6</v>
      </c>
      <c r="U660" s="3">
        <v>46294.267361111109</v>
      </c>
      <c r="W660" t="s">
        <v>2090</v>
      </c>
      <c r="X660" t="s">
        <v>67</v>
      </c>
      <c r="Y660" t="s">
        <v>68</v>
      </c>
      <c r="Z660" t="s">
        <v>69</v>
      </c>
      <c r="AA660" t="s">
        <v>69</v>
      </c>
      <c r="AB660" t="s">
        <v>67</v>
      </c>
      <c r="AC660" t="s">
        <v>67</v>
      </c>
      <c r="AD660" t="s">
        <v>71</v>
      </c>
      <c r="AE660" t="s">
        <v>110</v>
      </c>
      <c r="AF660" t="s">
        <v>67</v>
      </c>
      <c r="AG660" t="s">
        <v>2096</v>
      </c>
      <c r="AH660" t="b">
        <v>0</v>
      </c>
      <c r="AI660" t="b">
        <v>0</v>
      </c>
      <c r="AJ660" t="b">
        <v>0</v>
      </c>
      <c r="AK660" t="b">
        <v>0</v>
      </c>
      <c r="AL660" s="6">
        <v>42.3</v>
      </c>
      <c r="AM660" s="3">
        <v>46245.354166666657</v>
      </c>
      <c r="AN660">
        <v>1</v>
      </c>
      <c r="AO660" s="3"/>
      <c r="AT660" t="b">
        <v>0</v>
      </c>
      <c r="AU660" t="s">
        <v>74</v>
      </c>
      <c r="AV660" t="b">
        <v>1</v>
      </c>
      <c r="AW660" t="b">
        <v>0</v>
      </c>
      <c r="AX660" s="5">
        <v>0</v>
      </c>
      <c r="AY660" s="3"/>
      <c r="AZ660" t="s">
        <v>67</v>
      </c>
      <c r="BA660" t="s">
        <v>67</v>
      </c>
      <c r="BB660" t="s">
        <v>317</v>
      </c>
    </row>
    <row r="661" spans="1:54" x14ac:dyDescent="0.3">
      <c r="A661">
        <v>1</v>
      </c>
      <c r="B661">
        <v>15</v>
      </c>
      <c r="C661" t="s">
        <v>54</v>
      </c>
      <c r="D661" s="3">
        <v>46245.534872685188</v>
      </c>
      <c r="E661" s="8">
        <v>46294</v>
      </c>
      <c r="F661" t="s">
        <v>2087</v>
      </c>
      <c r="G661" t="s">
        <v>56</v>
      </c>
      <c r="H661" t="s">
        <v>2088</v>
      </c>
      <c r="I661" t="s">
        <v>2089</v>
      </c>
      <c r="J661" t="s">
        <v>59</v>
      </c>
      <c r="L661" t="s">
        <v>224</v>
      </c>
      <c r="M661" t="s">
        <v>62</v>
      </c>
      <c r="N661" t="s">
        <v>62</v>
      </c>
      <c r="O661" t="s">
        <v>766</v>
      </c>
      <c r="P661" t="s">
        <v>767</v>
      </c>
      <c r="Q661" s="5">
        <v>1</v>
      </c>
      <c r="R661" s="6">
        <v>61</v>
      </c>
      <c r="S661" s="6">
        <v>61</v>
      </c>
      <c r="T661" s="6">
        <v>21.9</v>
      </c>
      <c r="U661" s="3">
        <v>46294.267361111109</v>
      </c>
      <c r="W661" t="s">
        <v>2090</v>
      </c>
      <c r="X661" t="s">
        <v>67</v>
      </c>
      <c r="Y661" t="s">
        <v>68</v>
      </c>
      <c r="Z661" t="s">
        <v>69</v>
      </c>
      <c r="AA661" t="s">
        <v>69</v>
      </c>
      <c r="AB661" t="s">
        <v>67</v>
      </c>
      <c r="AC661" t="s">
        <v>67</v>
      </c>
      <c r="AD661" t="s">
        <v>71</v>
      </c>
      <c r="AE661" t="s">
        <v>110</v>
      </c>
      <c r="AF661" t="s">
        <v>67</v>
      </c>
      <c r="AG661" t="s">
        <v>768</v>
      </c>
      <c r="AH661" t="b">
        <v>0</v>
      </c>
      <c r="AI661" t="b">
        <v>0</v>
      </c>
      <c r="AJ661" t="b">
        <v>0</v>
      </c>
      <c r="AK661" t="b">
        <v>0</v>
      </c>
      <c r="AL661" s="6">
        <v>21.9</v>
      </c>
      <c r="AM661" s="3">
        <v>46245.354166666657</v>
      </c>
      <c r="AN661">
        <v>1</v>
      </c>
      <c r="AO661" s="3"/>
      <c r="AT661" t="b">
        <v>0</v>
      </c>
      <c r="AU661" t="s">
        <v>74</v>
      </c>
      <c r="AV661" t="b">
        <v>1</v>
      </c>
      <c r="AW661" t="b">
        <v>0</v>
      </c>
      <c r="AX661" s="5">
        <v>0</v>
      </c>
      <c r="AY661" s="3"/>
      <c r="AZ661" t="s">
        <v>67</v>
      </c>
      <c r="BA661" t="s">
        <v>67</v>
      </c>
      <c r="BB661" t="s">
        <v>317</v>
      </c>
    </row>
    <row r="662" spans="1:54" x14ac:dyDescent="0.3">
      <c r="A662">
        <v>1</v>
      </c>
      <c r="B662">
        <v>15</v>
      </c>
      <c r="C662" t="s">
        <v>54</v>
      </c>
      <c r="D662" s="3">
        <v>46245.662361111114</v>
      </c>
      <c r="E662" s="8">
        <v>46245</v>
      </c>
      <c r="F662" t="s">
        <v>2097</v>
      </c>
      <c r="G662" t="s">
        <v>56</v>
      </c>
      <c r="H662" t="s">
        <v>2098</v>
      </c>
      <c r="I662" t="s">
        <v>2099</v>
      </c>
      <c r="J662" t="s">
        <v>59</v>
      </c>
      <c r="L662" t="s">
        <v>224</v>
      </c>
      <c r="M662" t="s">
        <v>62</v>
      </c>
      <c r="N662" t="s">
        <v>62</v>
      </c>
      <c r="O662" t="s">
        <v>228</v>
      </c>
      <c r="P662" t="s">
        <v>229</v>
      </c>
      <c r="Q662" s="5">
        <v>1</v>
      </c>
      <c r="R662" s="6">
        <v>135</v>
      </c>
      <c r="S662" s="6">
        <v>135</v>
      </c>
      <c r="T662" s="6">
        <v>90</v>
      </c>
      <c r="U662" s="3">
        <v>46316.229166666657</v>
      </c>
      <c r="W662" t="s">
        <v>2100</v>
      </c>
      <c r="X662" t="s">
        <v>67</v>
      </c>
      <c r="Y662" t="s">
        <v>68</v>
      </c>
      <c r="Z662" t="s">
        <v>521</v>
      </c>
      <c r="AA662" t="s">
        <v>522</v>
      </c>
      <c r="AB662" t="s">
        <v>67</v>
      </c>
      <c r="AC662" t="s">
        <v>70</v>
      </c>
      <c r="AD662" t="s">
        <v>71</v>
      </c>
      <c r="AE662" t="s">
        <v>84</v>
      </c>
      <c r="AF662" t="s">
        <v>67</v>
      </c>
      <c r="AG662" t="s">
        <v>228</v>
      </c>
      <c r="AH662" t="b">
        <v>0</v>
      </c>
      <c r="AI662" t="b">
        <v>0</v>
      </c>
      <c r="AJ662" t="b">
        <v>0</v>
      </c>
      <c r="AK662" t="b">
        <v>0</v>
      </c>
      <c r="AL662" s="6">
        <v>90</v>
      </c>
      <c r="AM662" s="3">
        <v>46300.458333333343</v>
      </c>
      <c r="AN662">
        <v>1</v>
      </c>
      <c r="AO662" s="3"/>
      <c r="AT662" t="b">
        <v>0</v>
      </c>
      <c r="AU662" t="s">
        <v>74</v>
      </c>
      <c r="AV662" t="b">
        <v>1</v>
      </c>
      <c r="AW662" t="b">
        <v>0</v>
      </c>
      <c r="AX662" s="5">
        <v>0</v>
      </c>
      <c r="AY662" s="3"/>
      <c r="AZ662" t="s">
        <v>67</v>
      </c>
      <c r="BA662" t="s">
        <v>67</v>
      </c>
      <c r="BB662" t="s">
        <v>317</v>
      </c>
    </row>
    <row r="663" spans="1:54" x14ac:dyDescent="0.3">
      <c r="A663">
        <v>1</v>
      </c>
      <c r="B663">
        <v>15</v>
      </c>
      <c r="C663" t="s">
        <v>54</v>
      </c>
      <c r="D663" s="3">
        <v>46245.70045138889</v>
      </c>
      <c r="E663" s="8">
        <v>46245</v>
      </c>
      <c r="F663" t="s">
        <v>2101</v>
      </c>
      <c r="G663" t="s">
        <v>56</v>
      </c>
      <c r="H663" t="s">
        <v>2102</v>
      </c>
      <c r="I663" t="s">
        <v>2103</v>
      </c>
      <c r="J663" t="s">
        <v>59</v>
      </c>
      <c r="K663" t="s">
        <v>2010</v>
      </c>
      <c r="L663" t="s">
        <v>61</v>
      </c>
      <c r="M663" t="s">
        <v>62</v>
      </c>
      <c r="N663" t="s">
        <v>63</v>
      </c>
      <c r="O663" t="s">
        <v>82</v>
      </c>
      <c r="P663" t="s">
        <v>83</v>
      </c>
      <c r="Q663" s="5">
        <v>1</v>
      </c>
      <c r="R663" s="6">
        <v>140</v>
      </c>
      <c r="S663" s="6">
        <v>140</v>
      </c>
      <c r="T663" s="6">
        <v>93.1</v>
      </c>
      <c r="U663" s="3">
        <v>46280.25</v>
      </c>
      <c r="W663" t="s">
        <v>2104</v>
      </c>
      <c r="X663" t="s">
        <v>67</v>
      </c>
      <c r="Y663" t="s">
        <v>68</v>
      </c>
      <c r="Z663" t="s">
        <v>69</v>
      </c>
      <c r="AA663" t="s">
        <v>69</v>
      </c>
      <c r="AB663" t="s">
        <v>70</v>
      </c>
      <c r="AC663" t="s">
        <v>70</v>
      </c>
      <c r="AD663" t="s">
        <v>71</v>
      </c>
      <c r="AE663" t="s">
        <v>84</v>
      </c>
      <c r="AF663" t="s">
        <v>67</v>
      </c>
      <c r="AG663" t="s">
        <v>82</v>
      </c>
      <c r="AH663" t="b">
        <v>0</v>
      </c>
      <c r="AI663" t="b">
        <v>0</v>
      </c>
      <c r="AJ663" t="b">
        <v>0</v>
      </c>
      <c r="AK663" t="b">
        <v>0</v>
      </c>
      <c r="AL663" s="6">
        <v>93.1</v>
      </c>
      <c r="AM663" s="3">
        <v>46280.25</v>
      </c>
      <c r="AN663">
        <v>1</v>
      </c>
      <c r="AO663" s="3"/>
      <c r="AT663" t="b">
        <v>0</v>
      </c>
      <c r="AU663" t="s">
        <v>74</v>
      </c>
      <c r="AV663" t="b">
        <v>1</v>
      </c>
      <c r="AW663" t="b">
        <v>0</v>
      </c>
      <c r="AX663" s="5">
        <v>0</v>
      </c>
      <c r="AY663" s="3"/>
      <c r="AZ663" t="s">
        <v>67</v>
      </c>
      <c r="BA663" t="s">
        <v>67</v>
      </c>
      <c r="BB663" t="s">
        <v>317</v>
      </c>
    </row>
    <row r="664" spans="1:54" x14ac:dyDescent="0.3">
      <c r="A664">
        <v>1</v>
      </c>
      <c r="B664">
        <v>15</v>
      </c>
      <c r="C664" t="s">
        <v>54</v>
      </c>
      <c r="D664" s="3">
        <v>46245.70045138889</v>
      </c>
      <c r="E664" s="8">
        <v>46245</v>
      </c>
      <c r="F664" t="s">
        <v>2101</v>
      </c>
      <c r="G664" t="s">
        <v>56</v>
      </c>
      <c r="H664" t="s">
        <v>2102</v>
      </c>
      <c r="I664" t="s">
        <v>2103</v>
      </c>
      <c r="J664" t="s">
        <v>59</v>
      </c>
      <c r="K664" t="s">
        <v>2010</v>
      </c>
      <c r="L664" t="s">
        <v>61</v>
      </c>
      <c r="M664" t="s">
        <v>62</v>
      </c>
      <c r="N664" t="s">
        <v>63</v>
      </c>
      <c r="O664" t="s">
        <v>169</v>
      </c>
      <c r="P664" t="s">
        <v>170</v>
      </c>
      <c r="Q664" s="5">
        <v>1</v>
      </c>
      <c r="R664" s="6">
        <v>87</v>
      </c>
      <c r="S664" s="6">
        <v>87</v>
      </c>
      <c r="T664" s="6">
        <v>31.5</v>
      </c>
      <c r="U664" s="3">
        <v>46280.25</v>
      </c>
      <c r="W664" t="s">
        <v>2104</v>
      </c>
      <c r="X664" t="s">
        <v>67</v>
      </c>
      <c r="Y664" t="s">
        <v>68</v>
      </c>
      <c r="Z664" t="s">
        <v>69</v>
      </c>
      <c r="AA664" t="s">
        <v>69</v>
      </c>
      <c r="AB664" t="s">
        <v>70</v>
      </c>
      <c r="AC664" t="s">
        <v>70</v>
      </c>
      <c r="AD664" t="s">
        <v>71</v>
      </c>
      <c r="AE664" t="s">
        <v>77</v>
      </c>
      <c r="AF664" t="s">
        <v>67</v>
      </c>
      <c r="AG664" t="s">
        <v>171</v>
      </c>
      <c r="AH664" t="b">
        <v>0</v>
      </c>
      <c r="AI664" t="b">
        <v>0</v>
      </c>
      <c r="AJ664" t="b">
        <v>0</v>
      </c>
      <c r="AK664" t="b">
        <v>0</v>
      </c>
      <c r="AL664" s="6">
        <v>31.5</v>
      </c>
      <c r="AM664" s="3">
        <v>46280.25</v>
      </c>
      <c r="AN664">
        <v>1</v>
      </c>
      <c r="AO664" s="3"/>
      <c r="AT664" t="b">
        <v>0</v>
      </c>
      <c r="AU664" t="s">
        <v>74</v>
      </c>
      <c r="AV664" t="b">
        <v>1</v>
      </c>
      <c r="AW664" t="b">
        <v>0</v>
      </c>
      <c r="AX664" s="5">
        <v>0</v>
      </c>
      <c r="AY664" s="3"/>
      <c r="AZ664" t="s">
        <v>67</v>
      </c>
      <c r="BA664" t="s">
        <v>67</v>
      </c>
      <c r="BB664" t="s">
        <v>317</v>
      </c>
    </row>
    <row r="665" spans="1:54" x14ac:dyDescent="0.3">
      <c r="A665">
        <v>1</v>
      </c>
      <c r="B665">
        <v>15</v>
      </c>
      <c r="C665" t="s">
        <v>54</v>
      </c>
      <c r="D665" s="3">
        <v>46246.363321759258</v>
      </c>
      <c r="E665" s="8">
        <v>46269</v>
      </c>
      <c r="F665" t="s">
        <v>2105</v>
      </c>
      <c r="G665" t="s">
        <v>56</v>
      </c>
      <c r="H665" t="s">
        <v>276</v>
      </c>
      <c r="I665" t="s">
        <v>277</v>
      </c>
      <c r="J665" t="s">
        <v>59</v>
      </c>
      <c r="K665" t="s">
        <v>278</v>
      </c>
      <c r="L665" t="s">
        <v>224</v>
      </c>
      <c r="M665" t="s">
        <v>63</v>
      </c>
      <c r="N665" t="s">
        <v>63</v>
      </c>
      <c r="O665" t="s">
        <v>82</v>
      </c>
      <c r="P665" t="s">
        <v>83</v>
      </c>
      <c r="Q665" s="5">
        <v>1</v>
      </c>
      <c r="R665" s="6">
        <v>140</v>
      </c>
      <c r="S665" s="6">
        <v>140</v>
      </c>
      <c r="T665" s="6">
        <v>93.1</v>
      </c>
      <c r="U665" s="3">
        <v>46300.25</v>
      </c>
      <c r="W665" t="s">
        <v>2106</v>
      </c>
      <c r="X665" t="s">
        <v>67</v>
      </c>
      <c r="Y665" t="s">
        <v>68</v>
      </c>
      <c r="Z665" t="s">
        <v>521</v>
      </c>
      <c r="AA665" t="s">
        <v>522</v>
      </c>
      <c r="AB665" t="s">
        <v>67</v>
      </c>
      <c r="AC665" t="s">
        <v>67</v>
      </c>
      <c r="AD665" t="s">
        <v>71</v>
      </c>
      <c r="AE665" t="s">
        <v>84</v>
      </c>
      <c r="AF665" t="s">
        <v>67</v>
      </c>
      <c r="AG665" t="s">
        <v>82</v>
      </c>
      <c r="AH665" t="b">
        <v>0</v>
      </c>
      <c r="AI665" t="b">
        <v>0</v>
      </c>
      <c r="AJ665" t="b">
        <v>0</v>
      </c>
      <c r="AK665" t="b">
        <v>0</v>
      </c>
      <c r="AL665" s="6">
        <v>93.1</v>
      </c>
      <c r="AM665" s="3">
        <v>46300.25</v>
      </c>
      <c r="AN665">
        <v>1</v>
      </c>
      <c r="AO665" s="3"/>
      <c r="AT665" t="b">
        <v>0</v>
      </c>
      <c r="AU665" t="s">
        <v>74</v>
      </c>
      <c r="AV665" t="b">
        <v>1</v>
      </c>
      <c r="AW665" t="b">
        <v>0</v>
      </c>
      <c r="AX665" s="5">
        <v>0</v>
      </c>
      <c r="AY665" s="3"/>
      <c r="AZ665" t="s">
        <v>67</v>
      </c>
      <c r="BA665" t="s">
        <v>67</v>
      </c>
      <c r="BB665" t="s">
        <v>317</v>
      </c>
    </row>
    <row r="666" spans="1:54" x14ac:dyDescent="0.3">
      <c r="A666">
        <v>1</v>
      </c>
      <c r="B666">
        <v>15</v>
      </c>
      <c r="C666" t="s">
        <v>54</v>
      </c>
      <c r="D666" s="3">
        <v>46246.363321759258</v>
      </c>
      <c r="E666" s="8">
        <v>46269</v>
      </c>
      <c r="F666" t="s">
        <v>2105</v>
      </c>
      <c r="G666" t="s">
        <v>56</v>
      </c>
      <c r="H666" t="s">
        <v>276</v>
      </c>
      <c r="I666" t="s">
        <v>277</v>
      </c>
      <c r="J666" t="s">
        <v>59</v>
      </c>
      <c r="K666" t="s">
        <v>278</v>
      </c>
      <c r="L666" t="s">
        <v>224</v>
      </c>
      <c r="M666" t="s">
        <v>63</v>
      </c>
      <c r="N666" t="s">
        <v>63</v>
      </c>
      <c r="O666" t="s">
        <v>2091</v>
      </c>
      <c r="P666" t="s">
        <v>2092</v>
      </c>
      <c r="Q666" s="5">
        <v>1</v>
      </c>
      <c r="R666" s="6">
        <v>192</v>
      </c>
      <c r="S666" s="6">
        <v>192</v>
      </c>
      <c r="T666" s="6">
        <v>127.4</v>
      </c>
      <c r="U666" s="3">
        <v>46300.25</v>
      </c>
      <c r="W666" t="s">
        <v>2106</v>
      </c>
      <c r="X666" t="s">
        <v>67</v>
      </c>
      <c r="Y666" t="s">
        <v>68</v>
      </c>
      <c r="Z666" t="s">
        <v>521</v>
      </c>
      <c r="AA666" t="s">
        <v>522</v>
      </c>
      <c r="AB666" t="s">
        <v>67</v>
      </c>
      <c r="AC666" t="s">
        <v>67</v>
      </c>
      <c r="AD666" t="s">
        <v>71</v>
      </c>
      <c r="AE666" t="s">
        <v>72</v>
      </c>
      <c r="AF666" t="s">
        <v>67</v>
      </c>
      <c r="AG666" t="s">
        <v>2093</v>
      </c>
      <c r="AH666" t="b">
        <v>0</v>
      </c>
      <c r="AI666" t="b">
        <v>0</v>
      </c>
      <c r="AJ666" t="b">
        <v>0</v>
      </c>
      <c r="AK666" t="b">
        <v>0</v>
      </c>
      <c r="AL666" s="6">
        <v>127.4</v>
      </c>
      <c r="AM666" s="3">
        <v>46300.25</v>
      </c>
      <c r="AN666">
        <v>1</v>
      </c>
      <c r="AO666" s="3"/>
      <c r="AT666" t="b">
        <v>0</v>
      </c>
      <c r="AU666" t="s">
        <v>74</v>
      </c>
      <c r="AV666" t="b">
        <v>1</v>
      </c>
      <c r="AW666" t="b">
        <v>0</v>
      </c>
      <c r="AX666" s="5">
        <v>0</v>
      </c>
      <c r="AY666" s="3"/>
      <c r="AZ666" t="s">
        <v>67</v>
      </c>
      <c r="BA666" t="s">
        <v>67</v>
      </c>
      <c r="BB666" t="s">
        <v>317</v>
      </c>
    </row>
    <row r="667" spans="1:54" x14ac:dyDescent="0.3">
      <c r="A667">
        <v>1</v>
      </c>
      <c r="B667">
        <v>15</v>
      </c>
      <c r="C667" t="s">
        <v>54</v>
      </c>
      <c r="D667" s="3">
        <v>46246.363321759258</v>
      </c>
      <c r="E667" s="8">
        <v>46269</v>
      </c>
      <c r="F667" t="s">
        <v>2105</v>
      </c>
      <c r="G667" t="s">
        <v>56</v>
      </c>
      <c r="H667" t="s">
        <v>276</v>
      </c>
      <c r="I667" t="s">
        <v>277</v>
      </c>
      <c r="J667" t="s">
        <v>59</v>
      </c>
      <c r="K667" t="s">
        <v>278</v>
      </c>
      <c r="L667" t="s">
        <v>224</v>
      </c>
      <c r="M667" t="s">
        <v>63</v>
      </c>
      <c r="N667" t="s">
        <v>63</v>
      </c>
      <c r="O667" t="s">
        <v>518</v>
      </c>
      <c r="P667" t="s">
        <v>519</v>
      </c>
      <c r="Q667" s="5">
        <v>1</v>
      </c>
      <c r="R667" s="6">
        <v>64</v>
      </c>
      <c r="S667" s="6">
        <v>64</v>
      </c>
      <c r="T667" s="6">
        <v>23.25</v>
      </c>
      <c r="U667" s="3">
        <v>46300.25</v>
      </c>
      <c r="W667" t="s">
        <v>2106</v>
      </c>
      <c r="X667" t="s">
        <v>67</v>
      </c>
      <c r="Y667" t="s">
        <v>68</v>
      </c>
      <c r="Z667" t="s">
        <v>521</v>
      </c>
      <c r="AA667" t="s">
        <v>522</v>
      </c>
      <c r="AB667" t="s">
        <v>67</v>
      </c>
      <c r="AC667" t="s">
        <v>67</v>
      </c>
      <c r="AD667" t="s">
        <v>71</v>
      </c>
      <c r="AE667" t="s">
        <v>110</v>
      </c>
      <c r="AF667" t="s">
        <v>67</v>
      </c>
      <c r="AG667" t="s">
        <v>523</v>
      </c>
      <c r="AH667" t="b">
        <v>0</v>
      </c>
      <c r="AI667" t="b">
        <v>0</v>
      </c>
      <c r="AJ667" t="b">
        <v>0</v>
      </c>
      <c r="AK667" t="b">
        <v>0</v>
      </c>
      <c r="AL667" s="6">
        <v>23.25</v>
      </c>
      <c r="AM667" s="3">
        <v>46300.25</v>
      </c>
      <c r="AN667">
        <v>1</v>
      </c>
      <c r="AO667" s="3"/>
      <c r="AT667" t="b">
        <v>0</v>
      </c>
      <c r="AU667" t="s">
        <v>74</v>
      </c>
      <c r="AV667" t="b">
        <v>1</v>
      </c>
      <c r="AW667" t="b">
        <v>0</v>
      </c>
      <c r="AX667" s="5">
        <v>0</v>
      </c>
      <c r="AY667" s="3"/>
      <c r="AZ667" t="s">
        <v>67</v>
      </c>
      <c r="BA667" t="s">
        <v>67</v>
      </c>
      <c r="BB667" t="s">
        <v>317</v>
      </c>
    </row>
    <row r="668" spans="1:54" x14ac:dyDescent="0.3">
      <c r="A668">
        <v>1</v>
      </c>
      <c r="B668">
        <v>15</v>
      </c>
      <c r="C668" t="s">
        <v>54</v>
      </c>
      <c r="D668" s="3">
        <v>46246.363321759258</v>
      </c>
      <c r="E668" s="8">
        <v>46269</v>
      </c>
      <c r="F668" t="s">
        <v>2105</v>
      </c>
      <c r="G668" t="s">
        <v>56</v>
      </c>
      <c r="H668" t="s">
        <v>276</v>
      </c>
      <c r="I668" t="s">
        <v>277</v>
      </c>
      <c r="J668" t="s">
        <v>59</v>
      </c>
      <c r="K668" t="s">
        <v>278</v>
      </c>
      <c r="L668" t="s">
        <v>224</v>
      </c>
      <c r="M668" t="s">
        <v>63</v>
      </c>
      <c r="N668" t="s">
        <v>63</v>
      </c>
      <c r="O668" t="s">
        <v>115</v>
      </c>
      <c r="P668" t="s">
        <v>116</v>
      </c>
      <c r="Q668" s="5">
        <v>1</v>
      </c>
      <c r="R668" s="6">
        <v>64</v>
      </c>
      <c r="S668" s="6">
        <v>64</v>
      </c>
      <c r="T668" s="6">
        <v>23.25</v>
      </c>
      <c r="U668" s="3">
        <v>46300.25</v>
      </c>
      <c r="W668" t="s">
        <v>2106</v>
      </c>
      <c r="X668" t="s">
        <v>67</v>
      </c>
      <c r="Y668" t="s">
        <v>68</v>
      </c>
      <c r="Z668" t="s">
        <v>521</v>
      </c>
      <c r="AA668" t="s">
        <v>522</v>
      </c>
      <c r="AB668" t="s">
        <v>67</v>
      </c>
      <c r="AC668" t="s">
        <v>67</v>
      </c>
      <c r="AD668" t="s">
        <v>71</v>
      </c>
      <c r="AE668" t="s">
        <v>110</v>
      </c>
      <c r="AF668" t="s">
        <v>67</v>
      </c>
      <c r="AG668" t="s">
        <v>117</v>
      </c>
      <c r="AH668" t="b">
        <v>0</v>
      </c>
      <c r="AI668" t="b">
        <v>0</v>
      </c>
      <c r="AJ668" t="b">
        <v>0</v>
      </c>
      <c r="AK668" t="b">
        <v>0</v>
      </c>
      <c r="AL668" s="6">
        <v>23.25</v>
      </c>
      <c r="AM668" s="3">
        <v>46300.25</v>
      </c>
      <c r="AN668">
        <v>1</v>
      </c>
      <c r="AO668" s="3"/>
      <c r="AT668" t="b">
        <v>0</v>
      </c>
      <c r="AU668" t="s">
        <v>74</v>
      </c>
      <c r="AV668" t="b">
        <v>1</v>
      </c>
      <c r="AW668" t="b">
        <v>0</v>
      </c>
      <c r="AX668" s="5">
        <v>0</v>
      </c>
      <c r="AY668" s="3"/>
      <c r="AZ668" t="s">
        <v>67</v>
      </c>
      <c r="BA668" t="s">
        <v>67</v>
      </c>
      <c r="BB668" t="s">
        <v>317</v>
      </c>
    </row>
    <row r="669" spans="1:54" x14ac:dyDescent="0.3">
      <c r="A669">
        <v>1</v>
      </c>
      <c r="B669">
        <v>15</v>
      </c>
      <c r="C669" t="s">
        <v>54</v>
      </c>
      <c r="D669" s="3">
        <v>46246.363321759258</v>
      </c>
      <c r="E669" s="8">
        <v>46269</v>
      </c>
      <c r="F669" t="s">
        <v>2105</v>
      </c>
      <c r="G669" t="s">
        <v>56</v>
      </c>
      <c r="H669" t="s">
        <v>276</v>
      </c>
      <c r="I669" t="s">
        <v>277</v>
      </c>
      <c r="J669" t="s">
        <v>59</v>
      </c>
      <c r="K669" t="s">
        <v>278</v>
      </c>
      <c r="L669" t="s">
        <v>224</v>
      </c>
      <c r="M669" t="s">
        <v>63</v>
      </c>
      <c r="N669" t="s">
        <v>63</v>
      </c>
      <c r="O669" t="s">
        <v>2107</v>
      </c>
      <c r="P669" t="s">
        <v>2108</v>
      </c>
      <c r="Q669" s="5">
        <v>1</v>
      </c>
      <c r="R669" s="6">
        <v>520</v>
      </c>
      <c r="S669" s="6">
        <v>520</v>
      </c>
      <c r="T669" s="6">
        <v>101.57</v>
      </c>
      <c r="U669" s="3">
        <v>46300.25</v>
      </c>
      <c r="W669" t="s">
        <v>2106</v>
      </c>
      <c r="X669" t="s">
        <v>67</v>
      </c>
      <c r="Y669" t="s">
        <v>68</v>
      </c>
      <c r="Z669" t="s">
        <v>521</v>
      </c>
      <c r="AA669" t="s">
        <v>522</v>
      </c>
      <c r="AB669" t="s">
        <v>67</v>
      </c>
      <c r="AC669" t="s">
        <v>67</v>
      </c>
      <c r="AD669" t="s">
        <v>71</v>
      </c>
      <c r="AE669" t="s">
        <v>110</v>
      </c>
      <c r="AF669" t="s">
        <v>67</v>
      </c>
      <c r="AG669" t="s">
        <v>2109</v>
      </c>
      <c r="AH669" t="b">
        <v>0</v>
      </c>
      <c r="AI669" t="b">
        <v>0</v>
      </c>
      <c r="AJ669" t="b">
        <v>0</v>
      </c>
      <c r="AK669" t="b">
        <v>0</v>
      </c>
      <c r="AL669" s="6">
        <v>101.57</v>
      </c>
      <c r="AM669" s="3">
        <v>46300.25</v>
      </c>
      <c r="AN669">
        <v>1</v>
      </c>
      <c r="AO669" s="3"/>
      <c r="AT669" t="b">
        <v>0</v>
      </c>
      <c r="AU669" t="s">
        <v>74</v>
      </c>
      <c r="AV669" t="b">
        <v>1</v>
      </c>
      <c r="AW669" t="b">
        <v>0</v>
      </c>
      <c r="AX669" s="5">
        <v>0</v>
      </c>
      <c r="AY669" s="3"/>
      <c r="AZ669" t="s">
        <v>67</v>
      </c>
      <c r="BA669" t="s">
        <v>67</v>
      </c>
      <c r="BB669" t="s">
        <v>317</v>
      </c>
    </row>
    <row r="670" spans="1:54" x14ac:dyDescent="0.3">
      <c r="A670">
        <v>1</v>
      </c>
      <c r="B670">
        <v>15</v>
      </c>
      <c r="C670" t="s">
        <v>54</v>
      </c>
      <c r="D670" s="3">
        <v>46246.363321759258</v>
      </c>
      <c r="E670" s="8">
        <v>46269</v>
      </c>
      <c r="F670" t="s">
        <v>2105</v>
      </c>
      <c r="G670" t="s">
        <v>56</v>
      </c>
      <c r="H670" t="s">
        <v>276</v>
      </c>
      <c r="I670" t="s">
        <v>277</v>
      </c>
      <c r="J670" t="s">
        <v>59</v>
      </c>
      <c r="K670" t="s">
        <v>278</v>
      </c>
      <c r="L670" t="s">
        <v>224</v>
      </c>
      <c r="M670" t="s">
        <v>63</v>
      </c>
      <c r="N670" t="s">
        <v>63</v>
      </c>
      <c r="O670" t="s">
        <v>1187</v>
      </c>
      <c r="P670" t="s">
        <v>1188</v>
      </c>
      <c r="Q670" s="5">
        <v>1</v>
      </c>
      <c r="R670" s="6">
        <v>520</v>
      </c>
      <c r="S670" s="6">
        <v>520</v>
      </c>
      <c r="T670" s="6">
        <v>101.57</v>
      </c>
      <c r="U670" s="3">
        <v>46300.25</v>
      </c>
      <c r="W670" t="s">
        <v>2106</v>
      </c>
      <c r="X670" t="s">
        <v>67</v>
      </c>
      <c r="Y670" t="s">
        <v>68</v>
      </c>
      <c r="Z670" t="s">
        <v>521</v>
      </c>
      <c r="AA670" t="s">
        <v>522</v>
      </c>
      <c r="AB670" t="s">
        <v>67</v>
      </c>
      <c r="AC670" t="s">
        <v>67</v>
      </c>
      <c r="AD670" t="s">
        <v>71</v>
      </c>
      <c r="AE670" t="s">
        <v>110</v>
      </c>
      <c r="AF670" t="s">
        <v>67</v>
      </c>
      <c r="AG670" t="s">
        <v>1189</v>
      </c>
      <c r="AH670" t="b">
        <v>0</v>
      </c>
      <c r="AI670" t="b">
        <v>0</v>
      </c>
      <c r="AJ670" t="b">
        <v>0</v>
      </c>
      <c r="AK670" t="b">
        <v>0</v>
      </c>
      <c r="AL670" s="6">
        <v>101.57</v>
      </c>
      <c r="AM670" s="3">
        <v>46300.25</v>
      </c>
      <c r="AN670">
        <v>1</v>
      </c>
      <c r="AO670" s="3"/>
      <c r="AT670" t="b">
        <v>0</v>
      </c>
      <c r="AU670" t="s">
        <v>74</v>
      </c>
      <c r="AV670" t="b">
        <v>1</v>
      </c>
      <c r="AW670" t="b">
        <v>0</v>
      </c>
      <c r="AX670" s="5">
        <v>0</v>
      </c>
      <c r="AY670" s="3"/>
      <c r="AZ670" t="s">
        <v>67</v>
      </c>
      <c r="BA670" t="s">
        <v>67</v>
      </c>
      <c r="BB670" t="s">
        <v>317</v>
      </c>
    </row>
    <row r="671" spans="1:54" x14ac:dyDescent="0.3">
      <c r="A671">
        <v>1</v>
      </c>
      <c r="B671">
        <v>15</v>
      </c>
      <c r="C671" t="s">
        <v>54</v>
      </c>
      <c r="D671" s="3">
        <v>46246.438263888893</v>
      </c>
      <c r="E671" s="8">
        <v>46258</v>
      </c>
      <c r="F671" t="s">
        <v>2110</v>
      </c>
      <c r="G671" t="s">
        <v>56</v>
      </c>
      <c r="H671" t="s">
        <v>2111</v>
      </c>
      <c r="I671" t="s">
        <v>2112</v>
      </c>
      <c r="J671" t="s">
        <v>59</v>
      </c>
      <c r="K671" t="s">
        <v>282</v>
      </c>
      <c r="L671" t="s">
        <v>61</v>
      </c>
      <c r="M671" t="s">
        <v>62</v>
      </c>
      <c r="N671" t="s">
        <v>62</v>
      </c>
      <c r="O671" t="s">
        <v>2113</v>
      </c>
      <c r="P671" t="s">
        <v>2114</v>
      </c>
      <c r="Q671" s="5">
        <v>1</v>
      </c>
      <c r="R671" s="6">
        <v>160</v>
      </c>
      <c r="S671" s="6">
        <v>160</v>
      </c>
      <c r="T671" s="6">
        <v>100</v>
      </c>
      <c r="U671" s="3">
        <v>46279.270833333343</v>
      </c>
      <c r="W671" t="s">
        <v>2115</v>
      </c>
      <c r="X671" t="s">
        <v>70</v>
      </c>
      <c r="Y671" t="s">
        <v>23</v>
      </c>
      <c r="Z671" t="s">
        <v>69</v>
      </c>
      <c r="AA671" t="s">
        <v>69</v>
      </c>
      <c r="AB671" t="s">
        <v>67</v>
      </c>
      <c r="AC671" t="s">
        <v>70</v>
      </c>
      <c r="AD671" t="s">
        <v>71</v>
      </c>
      <c r="AE671" t="s">
        <v>102</v>
      </c>
      <c r="AF671" t="s">
        <v>67</v>
      </c>
      <c r="AH671" t="b">
        <v>0</v>
      </c>
      <c r="AI671" t="b">
        <v>0</v>
      </c>
      <c r="AJ671" t="b">
        <v>0</v>
      </c>
      <c r="AK671" t="b">
        <v>0</v>
      </c>
      <c r="AL671" s="6">
        <v>100</v>
      </c>
      <c r="AM671" s="3">
        <v>46279.270833333343</v>
      </c>
      <c r="AN671">
        <v>1</v>
      </c>
      <c r="AO671" s="3"/>
      <c r="AP671" t="s">
        <v>112</v>
      </c>
      <c r="AQ671" t="s">
        <v>112</v>
      </c>
      <c r="AR671" t="s">
        <v>113</v>
      </c>
      <c r="AS671">
        <v>1</v>
      </c>
      <c r="AT671" t="b">
        <v>0</v>
      </c>
      <c r="AU671" t="s">
        <v>114</v>
      </c>
      <c r="AV671" t="b">
        <v>1</v>
      </c>
      <c r="AW671" t="b">
        <v>0</v>
      </c>
      <c r="AX671" s="5">
        <v>0</v>
      </c>
      <c r="AY671" s="3"/>
      <c r="AZ671" t="s">
        <v>67</v>
      </c>
      <c r="BA671" t="s">
        <v>67</v>
      </c>
      <c r="BB671" t="s">
        <v>997</v>
      </c>
    </row>
    <row r="672" spans="1:54" x14ac:dyDescent="0.3">
      <c r="A672">
        <v>1</v>
      </c>
      <c r="B672">
        <v>15</v>
      </c>
      <c r="C672" t="s">
        <v>54</v>
      </c>
      <c r="D672" s="3">
        <v>46260.396840277783</v>
      </c>
      <c r="E672" s="8">
        <v>46288</v>
      </c>
      <c r="F672" t="s">
        <v>2116</v>
      </c>
      <c r="G672" t="s">
        <v>56</v>
      </c>
      <c r="H672" t="s">
        <v>2117</v>
      </c>
      <c r="I672" t="s">
        <v>2118</v>
      </c>
      <c r="J672" t="s">
        <v>363</v>
      </c>
      <c r="K672" t="s">
        <v>1278</v>
      </c>
      <c r="L672" t="s">
        <v>1279</v>
      </c>
      <c r="M672" t="s">
        <v>366</v>
      </c>
      <c r="N672" t="s">
        <v>366</v>
      </c>
      <c r="O672" t="s">
        <v>2119</v>
      </c>
      <c r="P672" t="s">
        <v>2120</v>
      </c>
      <c r="Q672" s="5">
        <v>1</v>
      </c>
      <c r="R672" s="6">
        <v>631</v>
      </c>
      <c r="S672" s="6">
        <v>631</v>
      </c>
      <c r="T672" s="6">
        <v>393.76</v>
      </c>
      <c r="U672" s="3">
        <v>46316.25</v>
      </c>
      <c r="W672" t="s">
        <v>2121</v>
      </c>
      <c r="X672" t="s">
        <v>70</v>
      </c>
      <c r="Y672" t="s">
        <v>23</v>
      </c>
      <c r="Z672" t="s">
        <v>69</v>
      </c>
      <c r="AA672" t="s">
        <v>69</v>
      </c>
      <c r="AB672" t="s">
        <v>67</v>
      </c>
      <c r="AC672" t="s">
        <v>70</v>
      </c>
      <c r="AD672" t="s">
        <v>370</v>
      </c>
      <c r="AE672" t="s">
        <v>102</v>
      </c>
      <c r="AF672" t="s">
        <v>67</v>
      </c>
      <c r="AH672" t="b">
        <v>0</v>
      </c>
      <c r="AI672" t="b">
        <v>0</v>
      </c>
      <c r="AJ672" t="b">
        <v>0</v>
      </c>
      <c r="AK672" t="b">
        <v>0</v>
      </c>
      <c r="AL672" s="6">
        <v>393.76</v>
      </c>
      <c r="AM672" s="3">
        <v>46316.25</v>
      </c>
      <c r="AN672">
        <v>1</v>
      </c>
      <c r="AO672" s="3"/>
      <c r="AP672" t="s">
        <v>112</v>
      </c>
      <c r="AQ672" t="s">
        <v>112</v>
      </c>
      <c r="AR672" t="s">
        <v>1274</v>
      </c>
      <c r="AS672">
        <v>1</v>
      </c>
      <c r="AT672" t="b">
        <v>0</v>
      </c>
      <c r="AU672" t="s">
        <v>114</v>
      </c>
      <c r="AV672" t="b">
        <v>1</v>
      </c>
      <c r="AW672" t="b">
        <v>0</v>
      </c>
      <c r="AX672" s="5">
        <v>0</v>
      </c>
      <c r="AY672" s="3"/>
      <c r="AZ672" t="s">
        <v>67</v>
      </c>
      <c r="BA672" t="s">
        <v>67</v>
      </c>
      <c r="BB672" t="s">
        <v>997</v>
      </c>
    </row>
    <row r="673" spans="1:54" x14ac:dyDescent="0.3">
      <c r="A673">
        <v>1</v>
      </c>
      <c r="B673">
        <v>15</v>
      </c>
      <c r="C673" t="s">
        <v>54</v>
      </c>
      <c r="D673" s="3">
        <v>46267.617361111108</v>
      </c>
      <c r="E673" s="8">
        <v>46288</v>
      </c>
      <c r="F673" t="s">
        <v>2122</v>
      </c>
      <c r="G673" t="s">
        <v>56</v>
      </c>
      <c r="H673" t="s">
        <v>2123</v>
      </c>
      <c r="I673" t="s">
        <v>2124</v>
      </c>
      <c r="J673" t="s">
        <v>94</v>
      </c>
      <c r="K673" t="s">
        <v>2125</v>
      </c>
      <c r="L673" t="s">
        <v>96</v>
      </c>
      <c r="M673" t="s">
        <v>97</v>
      </c>
      <c r="N673" t="s">
        <v>97</v>
      </c>
      <c r="O673" t="s">
        <v>197</v>
      </c>
      <c r="P673" t="s">
        <v>198</v>
      </c>
      <c r="Q673" s="5">
        <v>1</v>
      </c>
      <c r="R673" s="6">
        <v>640</v>
      </c>
      <c r="S673" s="6">
        <v>640</v>
      </c>
      <c r="T673" s="6">
        <v>400</v>
      </c>
      <c r="U673" s="3">
        <v>46316.458333333343</v>
      </c>
      <c r="V673" t="s">
        <v>961</v>
      </c>
      <c r="W673" t="s">
        <v>2126</v>
      </c>
      <c r="X673" t="s">
        <v>70</v>
      </c>
      <c r="Y673" t="s">
        <v>23</v>
      </c>
      <c r="Z673" t="s">
        <v>69</v>
      </c>
      <c r="AA673" t="s">
        <v>69</v>
      </c>
      <c r="AB673" t="s">
        <v>67</v>
      </c>
      <c r="AC673" t="s">
        <v>67</v>
      </c>
      <c r="AD673" t="s">
        <v>101</v>
      </c>
      <c r="AE673" t="s">
        <v>102</v>
      </c>
      <c r="AF673" t="s">
        <v>67</v>
      </c>
      <c r="AH673" t="b">
        <v>0</v>
      </c>
      <c r="AI673" t="b">
        <v>0</v>
      </c>
      <c r="AJ673" t="b">
        <v>0</v>
      </c>
      <c r="AK673" t="b">
        <v>0</v>
      </c>
      <c r="AL673" s="6">
        <v>400</v>
      </c>
      <c r="AM673" s="3">
        <v>46302.229166666657</v>
      </c>
      <c r="AN673">
        <v>1</v>
      </c>
      <c r="AO673" s="3"/>
      <c r="AT673" t="b">
        <v>0</v>
      </c>
      <c r="AU673" t="s">
        <v>74</v>
      </c>
      <c r="AV673" t="b">
        <v>1</v>
      </c>
      <c r="AW673" t="b">
        <v>0</v>
      </c>
      <c r="AX673" s="5">
        <v>0</v>
      </c>
      <c r="AY673" s="3"/>
      <c r="AZ673" t="s">
        <v>67</v>
      </c>
      <c r="BA673" t="s">
        <v>67</v>
      </c>
      <c r="BB673" t="s">
        <v>317</v>
      </c>
    </row>
    <row r="674" spans="1:54" x14ac:dyDescent="0.3">
      <c r="A674">
        <v>1</v>
      </c>
      <c r="B674">
        <v>15</v>
      </c>
      <c r="C674" t="s">
        <v>54</v>
      </c>
      <c r="D674" s="3">
        <v>46267.663831018523</v>
      </c>
      <c r="E674" s="8">
        <v>46276</v>
      </c>
      <c r="F674" t="s">
        <v>2127</v>
      </c>
      <c r="G674" t="s">
        <v>56</v>
      </c>
      <c r="H674" t="s">
        <v>879</v>
      </c>
      <c r="I674" t="s">
        <v>880</v>
      </c>
      <c r="J674" t="s">
        <v>94</v>
      </c>
      <c r="L674" t="s">
        <v>96</v>
      </c>
      <c r="M674" t="s">
        <v>97</v>
      </c>
      <c r="N674" t="s">
        <v>97</v>
      </c>
      <c r="O674" t="s">
        <v>1244</v>
      </c>
      <c r="P674" t="s">
        <v>1245</v>
      </c>
      <c r="Q674" s="5">
        <v>1</v>
      </c>
      <c r="R674" s="6">
        <v>778</v>
      </c>
      <c r="S674" s="6">
        <v>778</v>
      </c>
      <c r="T674" s="6">
        <v>486</v>
      </c>
      <c r="U674" s="3">
        <v>46302.229166666657</v>
      </c>
      <c r="V674" t="s">
        <v>961</v>
      </c>
      <c r="W674" t="s">
        <v>881</v>
      </c>
      <c r="X674" t="s">
        <v>70</v>
      </c>
      <c r="Y674" t="s">
        <v>23</v>
      </c>
      <c r="Z674" t="s">
        <v>69</v>
      </c>
      <c r="AA674" t="s">
        <v>69</v>
      </c>
      <c r="AB674" t="s">
        <v>67</v>
      </c>
      <c r="AC674" t="s">
        <v>70</v>
      </c>
      <c r="AD674" t="s">
        <v>101</v>
      </c>
      <c r="AF674" t="s">
        <v>67</v>
      </c>
      <c r="AH674" t="b">
        <v>0</v>
      </c>
      <c r="AI674" t="b">
        <v>0</v>
      </c>
      <c r="AJ674" t="b">
        <v>0</v>
      </c>
      <c r="AK674" t="b">
        <v>0</v>
      </c>
      <c r="AL674" s="6">
        <v>486</v>
      </c>
      <c r="AM674" s="3">
        <v>46302.229166666657</v>
      </c>
      <c r="AN674">
        <v>1</v>
      </c>
      <c r="AO674" s="3"/>
      <c r="AT674" t="b">
        <v>0</v>
      </c>
      <c r="AU674" t="s">
        <v>74</v>
      </c>
      <c r="AV674" t="b">
        <v>1</v>
      </c>
      <c r="AW674" t="b">
        <v>0</v>
      </c>
      <c r="AX674" s="5">
        <v>0</v>
      </c>
      <c r="AY674" s="3"/>
      <c r="AZ674" t="s">
        <v>67</v>
      </c>
      <c r="BA674" t="s">
        <v>67</v>
      </c>
      <c r="BB674" t="s">
        <v>317</v>
      </c>
    </row>
    <row r="675" spans="1:54" x14ac:dyDescent="0.3">
      <c r="A675">
        <v>1</v>
      </c>
      <c r="B675">
        <v>15</v>
      </c>
      <c r="C675" t="s">
        <v>54</v>
      </c>
      <c r="D675" s="3">
        <v>46267.663831018523</v>
      </c>
      <c r="E675" s="8">
        <v>46276</v>
      </c>
      <c r="F675" t="s">
        <v>2127</v>
      </c>
      <c r="G675" t="s">
        <v>56</v>
      </c>
      <c r="H675" t="s">
        <v>879</v>
      </c>
      <c r="I675" t="s">
        <v>880</v>
      </c>
      <c r="J675" t="s">
        <v>94</v>
      </c>
      <c r="L675" t="s">
        <v>96</v>
      </c>
      <c r="M675" t="s">
        <v>97</v>
      </c>
      <c r="N675" t="s">
        <v>97</v>
      </c>
      <c r="O675" t="s">
        <v>1247</v>
      </c>
      <c r="P675" t="s">
        <v>1248</v>
      </c>
      <c r="Q675" s="5">
        <v>1</v>
      </c>
      <c r="R675" s="6">
        <v>326.95999999999998</v>
      </c>
      <c r="S675" s="6">
        <v>326.95999999999998</v>
      </c>
      <c r="T675" s="6">
        <v>97.2</v>
      </c>
      <c r="U675" s="3">
        <v>46302.229166666657</v>
      </c>
      <c r="V675" t="s">
        <v>961</v>
      </c>
      <c r="W675" t="s">
        <v>881</v>
      </c>
      <c r="X675" t="s">
        <v>70</v>
      </c>
      <c r="Y675" t="s">
        <v>68</v>
      </c>
      <c r="Z675" t="s">
        <v>69</v>
      </c>
      <c r="AA675" t="s">
        <v>69</v>
      </c>
      <c r="AB675" t="s">
        <v>67</v>
      </c>
      <c r="AC675" t="s">
        <v>70</v>
      </c>
      <c r="AD675" t="s">
        <v>101</v>
      </c>
      <c r="AE675" t="s">
        <v>185</v>
      </c>
      <c r="AF675" t="s">
        <v>67</v>
      </c>
      <c r="AG675" t="s">
        <v>1249</v>
      </c>
      <c r="AH675" t="b">
        <v>0</v>
      </c>
      <c r="AI675" t="b">
        <v>0</v>
      </c>
      <c r="AJ675" t="b">
        <v>0</v>
      </c>
      <c r="AK675" t="b">
        <v>0</v>
      </c>
      <c r="AL675" s="6">
        <v>97.2</v>
      </c>
      <c r="AM675" s="3">
        <v>46302.229166666657</v>
      </c>
      <c r="AN675">
        <v>1</v>
      </c>
      <c r="AO675" s="3"/>
      <c r="AT675" t="b">
        <v>0</v>
      </c>
      <c r="AU675" t="s">
        <v>74</v>
      </c>
      <c r="AV675" t="b">
        <v>1</v>
      </c>
      <c r="AW675" t="b">
        <v>0</v>
      </c>
      <c r="AX675" s="5">
        <v>0</v>
      </c>
      <c r="AY675" s="3"/>
      <c r="AZ675" t="s">
        <v>67</v>
      </c>
      <c r="BA675" t="s">
        <v>67</v>
      </c>
      <c r="BB675" t="s">
        <v>317</v>
      </c>
    </row>
    <row r="676" spans="1:54" x14ac:dyDescent="0.3">
      <c r="A676">
        <v>1</v>
      </c>
      <c r="B676">
        <v>15</v>
      </c>
      <c r="C676" t="s">
        <v>54</v>
      </c>
      <c r="D676" s="3">
        <v>46267.663831018523</v>
      </c>
      <c r="E676" s="8">
        <v>46276</v>
      </c>
      <c r="F676" t="s">
        <v>2127</v>
      </c>
      <c r="G676" t="s">
        <v>56</v>
      </c>
      <c r="H676" t="s">
        <v>879</v>
      </c>
      <c r="I676" t="s">
        <v>880</v>
      </c>
      <c r="J676" t="s">
        <v>94</v>
      </c>
      <c r="L676" t="s">
        <v>96</v>
      </c>
      <c r="M676" t="s">
        <v>97</v>
      </c>
      <c r="N676" t="s">
        <v>97</v>
      </c>
      <c r="O676" t="s">
        <v>1250</v>
      </c>
      <c r="P676" t="s">
        <v>1251</v>
      </c>
      <c r="Q676" s="5">
        <v>1</v>
      </c>
      <c r="R676" s="6">
        <v>64.66</v>
      </c>
      <c r="S676" s="6">
        <v>64.66</v>
      </c>
      <c r="T676" s="6">
        <v>19.2</v>
      </c>
      <c r="U676" s="3">
        <v>46302.229166666657</v>
      </c>
      <c r="V676" t="s">
        <v>961</v>
      </c>
      <c r="W676" t="s">
        <v>881</v>
      </c>
      <c r="X676" t="s">
        <v>70</v>
      </c>
      <c r="Y676" t="s">
        <v>68</v>
      </c>
      <c r="Z676" t="s">
        <v>69</v>
      </c>
      <c r="AA676" t="s">
        <v>69</v>
      </c>
      <c r="AB676" t="s">
        <v>67</v>
      </c>
      <c r="AC676" t="s">
        <v>70</v>
      </c>
      <c r="AD676" t="s">
        <v>101</v>
      </c>
      <c r="AE676" t="s">
        <v>185</v>
      </c>
      <c r="AF676" t="s">
        <v>67</v>
      </c>
      <c r="AG676" t="s">
        <v>1252</v>
      </c>
      <c r="AH676" t="b">
        <v>0</v>
      </c>
      <c r="AI676" t="b">
        <v>0</v>
      </c>
      <c r="AJ676" t="b">
        <v>0</v>
      </c>
      <c r="AK676" t="b">
        <v>0</v>
      </c>
      <c r="AL676" s="6">
        <v>19.2</v>
      </c>
      <c r="AM676" s="3">
        <v>46302.229166666657</v>
      </c>
      <c r="AN676">
        <v>1</v>
      </c>
      <c r="AO676" s="3"/>
      <c r="AT676" t="b">
        <v>0</v>
      </c>
      <c r="AU676" t="s">
        <v>74</v>
      </c>
      <c r="AV676" t="b">
        <v>1</v>
      </c>
      <c r="AW676" t="b">
        <v>0</v>
      </c>
      <c r="AX676" s="5">
        <v>0</v>
      </c>
      <c r="AY676" s="3"/>
      <c r="AZ676" t="s">
        <v>67</v>
      </c>
      <c r="BA676" t="s">
        <v>67</v>
      </c>
      <c r="BB676" t="s">
        <v>317</v>
      </c>
    </row>
    <row r="677" spans="1:54" x14ac:dyDescent="0.3">
      <c r="A677">
        <v>1</v>
      </c>
      <c r="B677">
        <v>15</v>
      </c>
      <c r="C677" t="s">
        <v>54</v>
      </c>
      <c r="D677" s="3">
        <v>46267.663831018523</v>
      </c>
      <c r="E677" s="8">
        <v>46276</v>
      </c>
      <c r="F677" t="s">
        <v>2127</v>
      </c>
      <c r="G677" t="s">
        <v>56</v>
      </c>
      <c r="H677" t="s">
        <v>879</v>
      </c>
      <c r="I677" t="s">
        <v>880</v>
      </c>
      <c r="J677" t="s">
        <v>94</v>
      </c>
      <c r="L677" t="s">
        <v>96</v>
      </c>
      <c r="M677" t="s">
        <v>97</v>
      </c>
      <c r="N677" t="s">
        <v>97</v>
      </c>
      <c r="O677" t="s">
        <v>1253</v>
      </c>
      <c r="P677" t="s">
        <v>1254</v>
      </c>
      <c r="Q677" s="5">
        <v>1</v>
      </c>
      <c r="R677" s="6">
        <v>181.78</v>
      </c>
      <c r="S677" s="6">
        <v>181.78</v>
      </c>
      <c r="T677" s="6">
        <v>54</v>
      </c>
      <c r="U677" s="3">
        <v>46302.229166666657</v>
      </c>
      <c r="V677" t="s">
        <v>961</v>
      </c>
      <c r="W677" t="s">
        <v>881</v>
      </c>
      <c r="X677" t="s">
        <v>70</v>
      </c>
      <c r="Y677" t="s">
        <v>68</v>
      </c>
      <c r="Z677" t="s">
        <v>69</v>
      </c>
      <c r="AA677" t="s">
        <v>69</v>
      </c>
      <c r="AB677" t="s">
        <v>67</v>
      </c>
      <c r="AC677" t="s">
        <v>70</v>
      </c>
      <c r="AD677" t="s">
        <v>101</v>
      </c>
      <c r="AE677" t="s">
        <v>185</v>
      </c>
      <c r="AF677" t="s">
        <v>67</v>
      </c>
      <c r="AG677" t="s">
        <v>1255</v>
      </c>
      <c r="AH677" t="b">
        <v>0</v>
      </c>
      <c r="AI677" t="b">
        <v>0</v>
      </c>
      <c r="AJ677" t="b">
        <v>0</v>
      </c>
      <c r="AK677" t="b">
        <v>0</v>
      </c>
      <c r="AL677" s="6">
        <v>54</v>
      </c>
      <c r="AM677" s="3">
        <v>46302.229166666657</v>
      </c>
      <c r="AN677">
        <v>1</v>
      </c>
      <c r="AO677" s="3"/>
      <c r="AT677" t="b">
        <v>0</v>
      </c>
      <c r="AU677" t="s">
        <v>74</v>
      </c>
      <c r="AV677" t="b">
        <v>1</v>
      </c>
      <c r="AW677" t="b">
        <v>0</v>
      </c>
      <c r="AX677" s="5">
        <v>0</v>
      </c>
      <c r="AY677" s="3"/>
      <c r="AZ677" t="s">
        <v>67</v>
      </c>
      <c r="BA677" t="s">
        <v>67</v>
      </c>
      <c r="BB677" t="s">
        <v>317</v>
      </c>
    </row>
    <row r="678" spans="1:54" x14ac:dyDescent="0.3">
      <c r="A678">
        <v>1</v>
      </c>
      <c r="B678">
        <v>15</v>
      </c>
      <c r="C678" t="s">
        <v>54</v>
      </c>
      <c r="D678" s="3">
        <v>46267.663831018523</v>
      </c>
      <c r="E678" s="8">
        <v>46276</v>
      </c>
      <c r="F678" t="s">
        <v>2127</v>
      </c>
      <c r="G678" t="s">
        <v>56</v>
      </c>
      <c r="H678" t="s">
        <v>879</v>
      </c>
      <c r="I678" t="s">
        <v>880</v>
      </c>
      <c r="J678" t="s">
        <v>94</v>
      </c>
      <c r="L678" t="s">
        <v>96</v>
      </c>
      <c r="M678" t="s">
        <v>97</v>
      </c>
      <c r="N678" t="s">
        <v>97</v>
      </c>
      <c r="O678" t="s">
        <v>1256</v>
      </c>
      <c r="P678" t="s">
        <v>1257</v>
      </c>
      <c r="Q678" s="5">
        <v>1</v>
      </c>
      <c r="R678" s="6">
        <v>96.38</v>
      </c>
      <c r="S678" s="6">
        <v>96.38</v>
      </c>
      <c r="T678" s="6">
        <v>28.4</v>
      </c>
      <c r="U678" s="3">
        <v>46302.229166666657</v>
      </c>
      <c r="V678" t="s">
        <v>961</v>
      </c>
      <c r="W678" t="s">
        <v>881</v>
      </c>
      <c r="X678" t="s">
        <v>70</v>
      </c>
      <c r="Y678" t="s">
        <v>68</v>
      </c>
      <c r="Z678" t="s">
        <v>69</v>
      </c>
      <c r="AA678" t="s">
        <v>69</v>
      </c>
      <c r="AB678" t="s">
        <v>67</v>
      </c>
      <c r="AC678" t="s">
        <v>70</v>
      </c>
      <c r="AD678" t="s">
        <v>101</v>
      </c>
      <c r="AE678" t="s">
        <v>185</v>
      </c>
      <c r="AF678" t="s">
        <v>67</v>
      </c>
      <c r="AG678" t="s">
        <v>1258</v>
      </c>
      <c r="AH678" t="b">
        <v>0</v>
      </c>
      <c r="AI678" t="b">
        <v>0</v>
      </c>
      <c r="AJ678" t="b">
        <v>0</v>
      </c>
      <c r="AK678" t="b">
        <v>0</v>
      </c>
      <c r="AL678" s="6">
        <v>28.4</v>
      </c>
      <c r="AM678" s="3">
        <v>46302.229166666657</v>
      </c>
      <c r="AN678">
        <v>1</v>
      </c>
      <c r="AO678" s="3"/>
      <c r="AT678" t="b">
        <v>0</v>
      </c>
      <c r="AU678" t="s">
        <v>74</v>
      </c>
      <c r="AV678" t="b">
        <v>1</v>
      </c>
      <c r="AW678" t="b">
        <v>0</v>
      </c>
      <c r="AX678" s="5">
        <v>0</v>
      </c>
      <c r="AY678" s="3"/>
      <c r="AZ678" t="s">
        <v>67</v>
      </c>
      <c r="BA678" t="s">
        <v>67</v>
      </c>
      <c r="BB678" t="s">
        <v>317</v>
      </c>
    </row>
    <row r="679" spans="1:54" x14ac:dyDescent="0.3">
      <c r="A679">
        <v>1</v>
      </c>
      <c r="B679">
        <v>15</v>
      </c>
      <c r="C679" t="s">
        <v>54</v>
      </c>
      <c r="D679" s="3">
        <v>46267.663831018523</v>
      </c>
      <c r="E679" s="8">
        <v>46276</v>
      </c>
      <c r="F679" t="s">
        <v>2127</v>
      </c>
      <c r="G679" t="s">
        <v>56</v>
      </c>
      <c r="H679" t="s">
        <v>879</v>
      </c>
      <c r="I679" t="s">
        <v>880</v>
      </c>
      <c r="J679" t="s">
        <v>94</v>
      </c>
      <c r="L679" t="s">
        <v>96</v>
      </c>
      <c r="M679" t="s">
        <v>97</v>
      </c>
      <c r="N679" t="s">
        <v>97</v>
      </c>
      <c r="O679" t="s">
        <v>1259</v>
      </c>
      <c r="P679" t="s">
        <v>1260</v>
      </c>
      <c r="Q679" s="5">
        <v>1</v>
      </c>
      <c r="R679" s="6">
        <v>84.18</v>
      </c>
      <c r="S679" s="6">
        <v>84.18</v>
      </c>
      <c r="T679" s="6">
        <v>24.8</v>
      </c>
      <c r="U679" s="3">
        <v>46302.229166666657</v>
      </c>
      <c r="V679" t="s">
        <v>961</v>
      </c>
      <c r="W679" t="s">
        <v>881</v>
      </c>
      <c r="X679" t="s">
        <v>70</v>
      </c>
      <c r="Y679" t="s">
        <v>68</v>
      </c>
      <c r="Z679" t="s">
        <v>69</v>
      </c>
      <c r="AA679" t="s">
        <v>69</v>
      </c>
      <c r="AB679" t="s">
        <v>67</v>
      </c>
      <c r="AC679" t="s">
        <v>70</v>
      </c>
      <c r="AD679" t="s">
        <v>101</v>
      </c>
      <c r="AE679" t="s">
        <v>185</v>
      </c>
      <c r="AF679" t="s">
        <v>67</v>
      </c>
      <c r="AG679" t="s">
        <v>1261</v>
      </c>
      <c r="AH679" t="b">
        <v>0</v>
      </c>
      <c r="AI679" t="b">
        <v>0</v>
      </c>
      <c r="AJ679" t="b">
        <v>0</v>
      </c>
      <c r="AK679" t="b">
        <v>0</v>
      </c>
      <c r="AL679" s="6">
        <v>24.8</v>
      </c>
      <c r="AM679" s="3">
        <v>46302.229166666657</v>
      </c>
      <c r="AN679">
        <v>1</v>
      </c>
      <c r="AO679" s="3"/>
      <c r="AT679" t="b">
        <v>0</v>
      </c>
      <c r="AU679" t="s">
        <v>74</v>
      </c>
      <c r="AV679" t="b">
        <v>1</v>
      </c>
      <c r="AW679" t="b">
        <v>0</v>
      </c>
      <c r="AX679" s="5">
        <v>0</v>
      </c>
      <c r="AY679" s="3"/>
      <c r="AZ679" t="s">
        <v>67</v>
      </c>
      <c r="BA679" t="s">
        <v>67</v>
      </c>
      <c r="BB679" t="s">
        <v>317</v>
      </c>
    </row>
    <row r="680" spans="1:54" x14ac:dyDescent="0.3">
      <c r="A680">
        <v>1</v>
      </c>
      <c r="B680">
        <v>15</v>
      </c>
      <c r="C680" t="s">
        <v>54</v>
      </c>
      <c r="D680" s="3">
        <v>46267.72184027778</v>
      </c>
      <c r="E680" s="8">
        <v>46269</v>
      </c>
      <c r="F680" t="s">
        <v>2128</v>
      </c>
      <c r="G680" t="s">
        <v>56</v>
      </c>
      <c r="H680" t="s">
        <v>2129</v>
      </c>
      <c r="I680" t="s">
        <v>2130</v>
      </c>
      <c r="J680" t="s">
        <v>94</v>
      </c>
      <c r="K680" t="s">
        <v>2131</v>
      </c>
      <c r="L680" t="s">
        <v>96</v>
      </c>
      <c r="M680" t="s">
        <v>97</v>
      </c>
      <c r="N680" t="s">
        <v>97</v>
      </c>
      <c r="O680" t="s">
        <v>2132</v>
      </c>
      <c r="P680" t="s">
        <v>2133</v>
      </c>
      <c r="Q680" s="5">
        <v>1</v>
      </c>
      <c r="R680" s="6">
        <v>105</v>
      </c>
      <c r="S680" s="6">
        <v>105</v>
      </c>
      <c r="T680" s="6">
        <v>70.069999999999993</v>
      </c>
      <c r="U680" s="3">
        <v>46342.5</v>
      </c>
      <c r="W680" t="s">
        <v>2134</v>
      </c>
      <c r="X680" t="s">
        <v>67</v>
      </c>
      <c r="Y680" t="s">
        <v>68</v>
      </c>
      <c r="Z680" t="s">
        <v>69</v>
      </c>
      <c r="AA680" t="s">
        <v>69</v>
      </c>
      <c r="AB680" t="s">
        <v>70</v>
      </c>
      <c r="AC680" t="s">
        <v>70</v>
      </c>
      <c r="AD680" t="s">
        <v>101</v>
      </c>
      <c r="AE680" t="s">
        <v>84</v>
      </c>
      <c r="AF680" t="s">
        <v>67</v>
      </c>
      <c r="AG680" t="s">
        <v>2132</v>
      </c>
      <c r="AH680" t="b">
        <v>0</v>
      </c>
      <c r="AI680" t="b">
        <v>0</v>
      </c>
      <c r="AJ680" t="b">
        <v>0</v>
      </c>
      <c r="AK680" t="b">
        <v>0</v>
      </c>
      <c r="AL680" s="6">
        <v>70.069999999999993</v>
      </c>
      <c r="AM680" s="3">
        <v>46300.25</v>
      </c>
      <c r="AN680">
        <v>1</v>
      </c>
      <c r="AO680" s="3"/>
      <c r="AT680" t="b">
        <v>0</v>
      </c>
      <c r="AU680" t="s">
        <v>74</v>
      </c>
      <c r="AV680" t="b">
        <v>1</v>
      </c>
      <c r="AW680" t="b">
        <v>0</v>
      </c>
      <c r="AX680" s="5">
        <v>0</v>
      </c>
      <c r="AY680" s="3"/>
      <c r="AZ680" t="s">
        <v>67</v>
      </c>
      <c r="BA680" t="s">
        <v>67</v>
      </c>
      <c r="BB680" t="s">
        <v>317</v>
      </c>
    </row>
    <row r="681" spans="1:54" x14ac:dyDescent="0.3">
      <c r="A681">
        <v>1</v>
      </c>
      <c r="B681">
        <v>15</v>
      </c>
      <c r="C681" t="s">
        <v>54</v>
      </c>
      <c r="D681" s="3">
        <v>46267.72184027778</v>
      </c>
      <c r="E681" s="8">
        <v>46269</v>
      </c>
      <c r="F681" t="s">
        <v>2128</v>
      </c>
      <c r="G681" t="s">
        <v>56</v>
      </c>
      <c r="H681" t="s">
        <v>2129</v>
      </c>
      <c r="I681" t="s">
        <v>2130</v>
      </c>
      <c r="J681" t="s">
        <v>94</v>
      </c>
      <c r="K681" t="s">
        <v>2131</v>
      </c>
      <c r="L681" t="s">
        <v>96</v>
      </c>
      <c r="M681" t="s">
        <v>97</v>
      </c>
      <c r="N681" t="s">
        <v>97</v>
      </c>
      <c r="O681" t="s">
        <v>2135</v>
      </c>
      <c r="P681" t="s">
        <v>2136</v>
      </c>
      <c r="Q681" s="5">
        <v>2</v>
      </c>
      <c r="R681" s="6">
        <v>170.78</v>
      </c>
      <c r="S681" s="6">
        <v>341.56</v>
      </c>
      <c r="T681" s="6">
        <v>108</v>
      </c>
      <c r="U681" s="3">
        <v>46342.5</v>
      </c>
      <c r="W681" t="s">
        <v>2134</v>
      </c>
      <c r="X681" t="s">
        <v>67</v>
      </c>
      <c r="Y681" t="s">
        <v>68</v>
      </c>
      <c r="Z681" t="s">
        <v>69</v>
      </c>
      <c r="AA681" t="s">
        <v>69</v>
      </c>
      <c r="AB681" t="s">
        <v>70</v>
      </c>
      <c r="AC681" t="s">
        <v>70</v>
      </c>
      <c r="AD681" t="s">
        <v>101</v>
      </c>
      <c r="AE681" t="s">
        <v>77</v>
      </c>
      <c r="AF681" t="s">
        <v>67</v>
      </c>
      <c r="AG681" t="s">
        <v>2137</v>
      </c>
      <c r="AH681" t="b">
        <v>0</v>
      </c>
      <c r="AI681" t="b">
        <v>0</v>
      </c>
      <c r="AJ681" t="b">
        <v>0</v>
      </c>
      <c r="AK681" t="b">
        <v>0</v>
      </c>
      <c r="AL681" s="6">
        <v>54</v>
      </c>
      <c r="AM681" s="3">
        <v>46300.25</v>
      </c>
      <c r="AN681">
        <v>1</v>
      </c>
      <c r="AO681" s="3"/>
      <c r="AT681" t="b">
        <v>0</v>
      </c>
      <c r="AU681" t="s">
        <v>74</v>
      </c>
      <c r="AV681" t="b">
        <v>1</v>
      </c>
      <c r="AW681" t="b">
        <v>0</v>
      </c>
      <c r="AX681" s="5">
        <v>0</v>
      </c>
      <c r="AY681" s="3"/>
      <c r="AZ681" t="s">
        <v>67</v>
      </c>
      <c r="BA681" t="s">
        <v>67</v>
      </c>
      <c r="BB681" t="s">
        <v>317</v>
      </c>
    </row>
    <row r="682" spans="1:54" x14ac:dyDescent="0.3">
      <c r="A682">
        <v>1</v>
      </c>
      <c r="B682">
        <v>15</v>
      </c>
      <c r="C682" t="s">
        <v>54</v>
      </c>
      <c r="D682" s="3">
        <v>46279.446736111109</v>
      </c>
      <c r="E682" s="8">
        <v>46279</v>
      </c>
      <c r="F682" t="s">
        <v>2138</v>
      </c>
      <c r="G682" t="s">
        <v>56</v>
      </c>
      <c r="H682" t="s">
        <v>2139</v>
      </c>
      <c r="I682" t="s">
        <v>2140</v>
      </c>
      <c r="J682" t="s">
        <v>1044</v>
      </c>
      <c r="L682" t="s">
        <v>1045</v>
      </c>
      <c r="M682" t="s">
        <v>1046</v>
      </c>
      <c r="N682" t="s">
        <v>1046</v>
      </c>
      <c r="O682" t="s">
        <v>1047</v>
      </c>
      <c r="P682" t="s">
        <v>1048</v>
      </c>
      <c r="Q682" s="5">
        <v>1</v>
      </c>
      <c r="R682" s="6">
        <v>400</v>
      </c>
      <c r="S682" s="6">
        <v>400</v>
      </c>
      <c r="T682" s="6">
        <v>250</v>
      </c>
      <c r="U682" s="3">
        <v>46279.229166666657</v>
      </c>
      <c r="W682" t="s">
        <v>2141</v>
      </c>
      <c r="X682" t="s">
        <v>70</v>
      </c>
      <c r="Y682" t="s">
        <v>23</v>
      </c>
      <c r="Z682" t="s">
        <v>69</v>
      </c>
      <c r="AA682" t="s">
        <v>69</v>
      </c>
      <c r="AB682" t="s">
        <v>67</v>
      </c>
      <c r="AC682" t="s">
        <v>67</v>
      </c>
      <c r="AD682" t="s">
        <v>1049</v>
      </c>
      <c r="AE682" t="s">
        <v>102</v>
      </c>
      <c r="AF682" t="s">
        <v>67</v>
      </c>
      <c r="AH682" t="b">
        <v>0</v>
      </c>
      <c r="AI682" t="b">
        <v>0</v>
      </c>
      <c r="AJ682" t="b">
        <v>0</v>
      </c>
      <c r="AK682" t="b">
        <v>0</v>
      </c>
      <c r="AL682" s="6">
        <v>250</v>
      </c>
      <c r="AM682" s="3">
        <v>46279.229166666657</v>
      </c>
      <c r="AN682">
        <v>1</v>
      </c>
      <c r="AO682" s="3"/>
      <c r="AP682" t="s">
        <v>112</v>
      </c>
      <c r="AQ682" t="s">
        <v>112</v>
      </c>
      <c r="AR682" t="s">
        <v>203</v>
      </c>
      <c r="AS682">
        <v>1</v>
      </c>
      <c r="AT682" t="b">
        <v>0</v>
      </c>
      <c r="AU682" t="s">
        <v>114</v>
      </c>
      <c r="AV682" t="b">
        <v>1</v>
      </c>
      <c r="AW682" t="b">
        <v>0</v>
      </c>
      <c r="AX682" s="5">
        <v>0</v>
      </c>
      <c r="AY682" s="3"/>
      <c r="AZ682" t="s">
        <v>67</v>
      </c>
      <c r="BA682" t="s">
        <v>67</v>
      </c>
      <c r="BB682" t="s">
        <v>997</v>
      </c>
    </row>
    <row r="683" spans="1:54" x14ac:dyDescent="0.3">
      <c r="A683">
        <v>1</v>
      </c>
      <c r="B683">
        <v>15</v>
      </c>
      <c r="C683" t="s">
        <v>54</v>
      </c>
      <c r="D683" s="3">
        <v>46279.528287037043</v>
      </c>
      <c r="E683" s="8">
        <v>46280</v>
      </c>
      <c r="F683" t="s">
        <v>2142</v>
      </c>
      <c r="G683" t="s">
        <v>56</v>
      </c>
      <c r="H683" t="s">
        <v>1676</v>
      </c>
      <c r="I683" t="s">
        <v>1677</v>
      </c>
      <c r="J683" t="s">
        <v>59</v>
      </c>
      <c r="K683" t="s">
        <v>902</v>
      </c>
      <c r="L683" t="s">
        <v>61</v>
      </c>
      <c r="M683" t="s">
        <v>63</v>
      </c>
      <c r="N683" t="s">
        <v>63</v>
      </c>
      <c r="O683" t="s">
        <v>274</v>
      </c>
      <c r="P683" t="s">
        <v>275</v>
      </c>
      <c r="Q683" s="5">
        <v>1</v>
      </c>
      <c r="R683" s="6">
        <v>80</v>
      </c>
      <c r="S683" s="6">
        <v>80</v>
      </c>
      <c r="T683" s="6">
        <v>51.54</v>
      </c>
      <c r="U683" s="3">
        <v>46280.479166666657</v>
      </c>
      <c r="W683" t="s">
        <v>1678</v>
      </c>
      <c r="X683" t="s">
        <v>70</v>
      </c>
      <c r="Y683" t="s">
        <v>68</v>
      </c>
      <c r="Z683" t="s">
        <v>69</v>
      </c>
      <c r="AA683" t="s">
        <v>69</v>
      </c>
      <c r="AB683" t="s">
        <v>70</v>
      </c>
      <c r="AC683" t="s">
        <v>70</v>
      </c>
      <c r="AD683" t="s">
        <v>71</v>
      </c>
      <c r="AE683" t="s">
        <v>84</v>
      </c>
      <c r="AF683" t="s">
        <v>67</v>
      </c>
      <c r="AG683" t="s">
        <v>274</v>
      </c>
      <c r="AH683" t="b">
        <v>0</v>
      </c>
      <c r="AI683" t="b">
        <v>0</v>
      </c>
      <c r="AJ683" t="b">
        <v>0</v>
      </c>
      <c r="AK683" t="b">
        <v>1</v>
      </c>
      <c r="AL683" s="6">
        <v>51.54</v>
      </c>
      <c r="AM683" s="3">
        <v>46280.479166666657</v>
      </c>
      <c r="AN683">
        <v>1</v>
      </c>
      <c r="AO683" s="3"/>
      <c r="AT683" t="b">
        <v>0</v>
      </c>
      <c r="AU683" t="s">
        <v>74</v>
      </c>
      <c r="AV683" t="b">
        <v>1</v>
      </c>
      <c r="AW683" t="b">
        <v>0</v>
      </c>
      <c r="AX683" s="5">
        <v>0</v>
      </c>
      <c r="AY683" s="3"/>
      <c r="AZ683" t="s">
        <v>67</v>
      </c>
      <c r="BA683" t="s">
        <v>67</v>
      </c>
      <c r="BB683" t="s">
        <v>317</v>
      </c>
    </row>
    <row r="684" spans="1:54" x14ac:dyDescent="0.3">
      <c r="A684">
        <v>1</v>
      </c>
      <c r="B684">
        <v>15</v>
      </c>
      <c r="C684" t="s">
        <v>54</v>
      </c>
      <c r="D684" s="3">
        <v>46279.528287037043</v>
      </c>
      <c r="E684" s="8">
        <v>46280</v>
      </c>
      <c r="F684" t="s">
        <v>2142</v>
      </c>
      <c r="G684" t="s">
        <v>56</v>
      </c>
      <c r="H684" t="s">
        <v>1676</v>
      </c>
      <c r="I684" t="s">
        <v>1677</v>
      </c>
      <c r="J684" t="s">
        <v>59</v>
      </c>
      <c r="K684" t="s">
        <v>902</v>
      </c>
      <c r="L684" t="s">
        <v>61</v>
      </c>
      <c r="M684" t="s">
        <v>63</v>
      </c>
      <c r="N684" t="s">
        <v>63</v>
      </c>
      <c r="O684" t="s">
        <v>1244</v>
      </c>
      <c r="P684" t="s">
        <v>1245</v>
      </c>
      <c r="Q684" s="5">
        <v>1</v>
      </c>
      <c r="R684" s="6">
        <v>778</v>
      </c>
      <c r="S684" s="6">
        <v>778</v>
      </c>
      <c r="T684" s="6">
        <v>486</v>
      </c>
      <c r="U684" s="3">
        <v>46280.479166666657</v>
      </c>
      <c r="W684" t="s">
        <v>1678</v>
      </c>
      <c r="X684" t="s">
        <v>70</v>
      </c>
      <c r="Y684" t="s">
        <v>23</v>
      </c>
      <c r="Z684" t="s">
        <v>69</v>
      </c>
      <c r="AA684" t="s">
        <v>69</v>
      </c>
      <c r="AB684" t="s">
        <v>70</v>
      </c>
      <c r="AC684" t="s">
        <v>70</v>
      </c>
      <c r="AD684" t="s">
        <v>71</v>
      </c>
      <c r="AF684" t="s">
        <v>67</v>
      </c>
      <c r="AH684" t="b">
        <v>0</v>
      </c>
      <c r="AI684" t="b">
        <v>0</v>
      </c>
      <c r="AJ684" t="b">
        <v>0</v>
      </c>
      <c r="AK684" t="b">
        <v>1</v>
      </c>
      <c r="AL684" s="6">
        <v>486</v>
      </c>
      <c r="AM684" s="3">
        <v>46280.479166666657</v>
      </c>
      <c r="AN684">
        <v>1</v>
      </c>
      <c r="AO684" s="3"/>
      <c r="AT684" t="b">
        <v>0</v>
      </c>
      <c r="AU684" t="s">
        <v>74</v>
      </c>
      <c r="AV684" t="b">
        <v>1</v>
      </c>
      <c r="AW684" t="b">
        <v>0</v>
      </c>
      <c r="AX684" s="5">
        <v>0</v>
      </c>
      <c r="AY684" s="3"/>
      <c r="AZ684" t="s">
        <v>67</v>
      </c>
      <c r="BA684" t="s">
        <v>67</v>
      </c>
      <c r="BB684" t="s">
        <v>317</v>
      </c>
    </row>
    <row r="685" spans="1:54" x14ac:dyDescent="0.3">
      <c r="A685">
        <v>1</v>
      </c>
      <c r="B685">
        <v>15</v>
      </c>
      <c r="C685" t="s">
        <v>54</v>
      </c>
      <c r="D685" s="3">
        <v>46279.528287037043</v>
      </c>
      <c r="E685" s="8">
        <v>46280</v>
      </c>
      <c r="F685" t="s">
        <v>2142</v>
      </c>
      <c r="G685" t="s">
        <v>56</v>
      </c>
      <c r="H685" t="s">
        <v>1676</v>
      </c>
      <c r="I685" t="s">
        <v>1677</v>
      </c>
      <c r="J685" t="s">
        <v>59</v>
      </c>
      <c r="K685" t="s">
        <v>902</v>
      </c>
      <c r="L685" t="s">
        <v>61</v>
      </c>
      <c r="M685" t="s">
        <v>63</v>
      </c>
      <c r="N685" t="s">
        <v>63</v>
      </c>
      <c r="O685" t="s">
        <v>2143</v>
      </c>
      <c r="P685" t="s">
        <v>2144</v>
      </c>
      <c r="Q685" s="5">
        <v>1</v>
      </c>
      <c r="R685" s="6">
        <v>74.75</v>
      </c>
      <c r="S685" s="6">
        <v>74.75</v>
      </c>
      <c r="T685" s="6">
        <v>23.4</v>
      </c>
      <c r="U685" s="3">
        <v>46280.479166666657</v>
      </c>
      <c r="W685" t="s">
        <v>1678</v>
      </c>
      <c r="X685" t="s">
        <v>70</v>
      </c>
      <c r="Y685" t="s">
        <v>68</v>
      </c>
      <c r="Z685" t="s">
        <v>69</v>
      </c>
      <c r="AA685" t="s">
        <v>69</v>
      </c>
      <c r="AB685" t="s">
        <v>70</v>
      </c>
      <c r="AC685" t="s">
        <v>70</v>
      </c>
      <c r="AD685" t="s">
        <v>71</v>
      </c>
      <c r="AE685" t="s">
        <v>77</v>
      </c>
      <c r="AF685" t="s">
        <v>67</v>
      </c>
      <c r="AG685" t="s">
        <v>2145</v>
      </c>
      <c r="AH685" t="b">
        <v>0</v>
      </c>
      <c r="AI685" t="b">
        <v>0</v>
      </c>
      <c r="AJ685" t="b">
        <v>0</v>
      </c>
      <c r="AK685" t="b">
        <v>1</v>
      </c>
      <c r="AL685" s="6">
        <v>23.4</v>
      </c>
      <c r="AM685" s="3">
        <v>46280.479166666657</v>
      </c>
      <c r="AN685">
        <v>1</v>
      </c>
      <c r="AO685" s="3"/>
      <c r="AT685" t="b">
        <v>0</v>
      </c>
      <c r="AU685" t="s">
        <v>74</v>
      </c>
      <c r="AV685" t="b">
        <v>1</v>
      </c>
      <c r="AW685" t="b">
        <v>0</v>
      </c>
      <c r="AX685" s="5">
        <v>0</v>
      </c>
      <c r="AY685" s="3"/>
      <c r="AZ685" t="s">
        <v>67</v>
      </c>
      <c r="BA685" t="s">
        <v>67</v>
      </c>
      <c r="BB685" t="s">
        <v>317</v>
      </c>
    </row>
    <row r="686" spans="1:54" x14ac:dyDescent="0.3">
      <c r="A686">
        <v>1</v>
      </c>
      <c r="B686">
        <v>15</v>
      </c>
      <c r="C686" t="s">
        <v>54</v>
      </c>
      <c r="D686" s="3">
        <v>46279.528287037043</v>
      </c>
      <c r="E686" s="8">
        <v>46280</v>
      </c>
      <c r="F686" t="s">
        <v>2142</v>
      </c>
      <c r="G686" t="s">
        <v>56</v>
      </c>
      <c r="H686" t="s">
        <v>1676</v>
      </c>
      <c r="I686" t="s">
        <v>1677</v>
      </c>
      <c r="J686" t="s">
        <v>59</v>
      </c>
      <c r="K686" t="s">
        <v>902</v>
      </c>
      <c r="L686" t="s">
        <v>61</v>
      </c>
      <c r="M686" t="s">
        <v>63</v>
      </c>
      <c r="N686" t="s">
        <v>63</v>
      </c>
      <c r="O686" t="s">
        <v>2146</v>
      </c>
      <c r="P686" t="s">
        <v>2147</v>
      </c>
      <c r="Q686" s="5">
        <v>1</v>
      </c>
      <c r="R686" s="6">
        <v>89.7</v>
      </c>
      <c r="S686" s="6">
        <v>89.7</v>
      </c>
      <c r="T686" s="6">
        <v>28.35</v>
      </c>
      <c r="U686" s="3">
        <v>46280.479166666657</v>
      </c>
      <c r="W686" t="s">
        <v>1678</v>
      </c>
      <c r="X686" t="s">
        <v>70</v>
      </c>
      <c r="Y686" t="s">
        <v>68</v>
      </c>
      <c r="Z686" t="s">
        <v>69</v>
      </c>
      <c r="AA686" t="s">
        <v>69</v>
      </c>
      <c r="AB686" t="s">
        <v>70</v>
      </c>
      <c r="AC686" t="s">
        <v>70</v>
      </c>
      <c r="AD686" t="s">
        <v>71</v>
      </c>
      <c r="AE686" t="s">
        <v>77</v>
      </c>
      <c r="AF686" t="s">
        <v>67</v>
      </c>
      <c r="AG686" t="s">
        <v>2148</v>
      </c>
      <c r="AH686" t="b">
        <v>0</v>
      </c>
      <c r="AI686" t="b">
        <v>0</v>
      </c>
      <c r="AJ686" t="b">
        <v>0</v>
      </c>
      <c r="AK686" t="b">
        <v>1</v>
      </c>
      <c r="AL686" s="6">
        <v>28.35</v>
      </c>
      <c r="AM686" s="3">
        <v>46280.479166666657</v>
      </c>
      <c r="AN686">
        <v>1</v>
      </c>
      <c r="AO686" s="3"/>
      <c r="AT686" t="b">
        <v>0</v>
      </c>
      <c r="AU686" t="s">
        <v>74</v>
      </c>
      <c r="AV686" t="b">
        <v>1</v>
      </c>
      <c r="AW686" t="b">
        <v>0</v>
      </c>
      <c r="AX686" s="5">
        <v>0</v>
      </c>
      <c r="AY686" s="3"/>
      <c r="AZ686" t="s">
        <v>67</v>
      </c>
      <c r="BA686" t="s">
        <v>67</v>
      </c>
      <c r="BB686" t="s">
        <v>317</v>
      </c>
    </row>
    <row r="687" spans="1:54" x14ac:dyDescent="0.3">
      <c r="A687">
        <v>1</v>
      </c>
      <c r="B687">
        <v>15</v>
      </c>
      <c r="C687" t="s">
        <v>54</v>
      </c>
      <c r="D687" s="3">
        <v>46279.528287037043</v>
      </c>
      <c r="E687" s="8">
        <v>46280</v>
      </c>
      <c r="F687" t="s">
        <v>2142</v>
      </c>
      <c r="G687" t="s">
        <v>56</v>
      </c>
      <c r="H687" t="s">
        <v>1676</v>
      </c>
      <c r="I687" t="s">
        <v>1677</v>
      </c>
      <c r="J687" t="s">
        <v>59</v>
      </c>
      <c r="K687" t="s">
        <v>902</v>
      </c>
      <c r="L687" t="s">
        <v>61</v>
      </c>
      <c r="M687" t="s">
        <v>63</v>
      </c>
      <c r="N687" t="s">
        <v>63</v>
      </c>
      <c r="O687" t="s">
        <v>2149</v>
      </c>
      <c r="P687" t="s">
        <v>2150</v>
      </c>
      <c r="Q687" s="5">
        <v>1</v>
      </c>
      <c r="R687" s="6">
        <v>357.2</v>
      </c>
      <c r="S687" s="6">
        <v>357.2</v>
      </c>
      <c r="T687" s="6">
        <v>112.95</v>
      </c>
      <c r="U687" s="3">
        <v>46280.479166666657</v>
      </c>
      <c r="W687" t="s">
        <v>1678</v>
      </c>
      <c r="X687" t="s">
        <v>70</v>
      </c>
      <c r="Y687" t="s">
        <v>68</v>
      </c>
      <c r="Z687" t="s">
        <v>69</v>
      </c>
      <c r="AA687" t="s">
        <v>69</v>
      </c>
      <c r="AB687" t="s">
        <v>70</v>
      </c>
      <c r="AC687" t="s">
        <v>70</v>
      </c>
      <c r="AD687" t="s">
        <v>71</v>
      </c>
      <c r="AE687" t="s">
        <v>77</v>
      </c>
      <c r="AF687" t="s">
        <v>67</v>
      </c>
      <c r="AG687" t="s">
        <v>2151</v>
      </c>
      <c r="AH687" t="b">
        <v>0</v>
      </c>
      <c r="AI687" t="b">
        <v>0</v>
      </c>
      <c r="AJ687" t="b">
        <v>0</v>
      </c>
      <c r="AK687" t="b">
        <v>1</v>
      </c>
      <c r="AL687" s="6">
        <v>112.95</v>
      </c>
      <c r="AM687" s="3">
        <v>46280.479166666657</v>
      </c>
      <c r="AN687">
        <v>1</v>
      </c>
      <c r="AO687" s="3"/>
      <c r="AT687" t="b">
        <v>0</v>
      </c>
      <c r="AU687" t="s">
        <v>74</v>
      </c>
      <c r="AV687" t="b">
        <v>1</v>
      </c>
      <c r="AW687" t="b">
        <v>0</v>
      </c>
      <c r="AX687" s="5">
        <v>0</v>
      </c>
      <c r="AY687" s="3"/>
      <c r="AZ687" t="s">
        <v>67</v>
      </c>
      <c r="BA687" t="s">
        <v>67</v>
      </c>
      <c r="BB687" t="s">
        <v>317</v>
      </c>
    </row>
    <row r="688" spans="1:54" x14ac:dyDescent="0.3">
      <c r="A688">
        <v>1</v>
      </c>
      <c r="B688">
        <v>15</v>
      </c>
      <c r="C688" t="s">
        <v>54</v>
      </c>
      <c r="D688" s="3">
        <v>46279.528287037043</v>
      </c>
      <c r="E688" s="8">
        <v>46280</v>
      </c>
      <c r="F688" t="s">
        <v>2142</v>
      </c>
      <c r="G688" t="s">
        <v>56</v>
      </c>
      <c r="H688" t="s">
        <v>1676</v>
      </c>
      <c r="I688" t="s">
        <v>1677</v>
      </c>
      <c r="J688" t="s">
        <v>59</v>
      </c>
      <c r="K688" t="s">
        <v>902</v>
      </c>
      <c r="L688" t="s">
        <v>61</v>
      </c>
      <c r="M688" t="s">
        <v>63</v>
      </c>
      <c r="N688" t="s">
        <v>63</v>
      </c>
      <c r="O688" t="s">
        <v>75</v>
      </c>
      <c r="P688" t="s">
        <v>76</v>
      </c>
      <c r="Q688" s="5">
        <v>1</v>
      </c>
      <c r="R688" s="6">
        <v>146.05000000000001</v>
      </c>
      <c r="S688" s="6">
        <v>146.05000000000001</v>
      </c>
      <c r="T688" s="6">
        <v>45.9</v>
      </c>
      <c r="U688" s="3">
        <v>46280.479166666657</v>
      </c>
      <c r="W688" t="s">
        <v>1678</v>
      </c>
      <c r="X688" t="s">
        <v>70</v>
      </c>
      <c r="Y688" t="s">
        <v>68</v>
      </c>
      <c r="Z688" t="s">
        <v>69</v>
      </c>
      <c r="AA688" t="s">
        <v>69</v>
      </c>
      <c r="AB688" t="s">
        <v>70</v>
      </c>
      <c r="AC688" t="s">
        <v>70</v>
      </c>
      <c r="AD688" t="s">
        <v>71</v>
      </c>
      <c r="AE688" t="s">
        <v>77</v>
      </c>
      <c r="AF688" t="s">
        <v>67</v>
      </c>
      <c r="AG688" t="s">
        <v>78</v>
      </c>
      <c r="AH688" t="b">
        <v>0</v>
      </c>
      <c r="AI688" t="b">
        <v>0</v>
      </c>
      <c r="AJ688" t="b">
        <v>0</v>
      </c>
      <c r="AK688" t="b">
        <v>1</v>
      </c>
      <c r="AL688" s="6">
        <v>45.9</v>
      </c>
      <c r="AM688" s="3">
        <v>46280.479166666657</v>
      </c>
      <c r="AN688">
        <v>1</v>
      </c>
      <c r="AO688" s="3"/>
      <c r="AT688" t="b">
        <v>0</v>
      </c>
      <c r="AU688" t="s">
        <v>74</v>
      </c>
      <c r="AV688" t="b">
        <v>1</v>
      </c>
      <c r="AW688" t="b">
        <v>0</v>
      </c>
      <c r="AX688" s="5">
        <v>0</v>
      </c>
      <c r="AY688" s="3"/>
      <c r="AZ688" t="s">
        <v>67</v>
      </c>
      <c r="BA688" t="s">
        <v>67</v>
      </c>
      <c r="BB688" t="s">
        <v>317</v>
      </c>
    </row>
    <row r="689" spans="1:54" x14ac:dyDescent="0.3">
      <c r="A689">
        <v>1</v>
      </c>
      <c r="B689">
        <v>15</v>
      </c>
      <c r="C689" t="s">
        <v>54</v>
      </c>
      <c r="D689" s="3">
        <v>46279.528287037043</v>
      </c>
      <c r="E689" s="8">
        <v>46280</v>
      </c>
      <c r="F689" t="s">
        <v>2142</v>
      </c>
      <c r="G689" t="s">
        <v>56</v>
      </c>
      <c r="H689" t="s">
        <v>1676</v>
      </c>
      <c r="I689" t="s">
        <v>1677</v>
      </c>
      <c r="J689" t="s">
        <v>59</v>
      </c>
      <c r="K689" t="s">
        <v>902</v>
      </c>
      <c r="L689" t="s">
        <v>61</v>
      </c>
      <c r="M689" t="s">
        <v>63</v>
      </c>
      <c r="N689" t="s">
        <v>63</v>
      </c>
      <c r="O689" t="s">
        <v>2152</v>
      </c>
      <c r="P689" t="s">
        <v>2153</v>
      </c>
      <c r="Q689" s="5">
        <v>1</v>
      </c>
      <c r="R689" s="6">
        <v>134.55000000000001</v>
      </c>
      <c r="S689" s="6">
        <v>134.55000000000001</v>
      </c>
      <c r="T689" s="6">
        <v>42.3</v>
      </c>
      <c r="U689" s="3">
        <v>46280.479166666657</v>
      </c>
      <c r="W689" t="s">
        <v>1678</v>
      </c>
      <c r="X689" t="s">
        <v>70</v>
      </c>
      <c r="Y689" t="s">
        <v>68</v>
      </c>
      <c r="Z689" t="s">
        <v>69</v>
      </c>
      <c r="AA689" t="s">
        <v>69</v>
      </c>
      <c r="AB689" t="s">
        <v>70</v>
      </c>
      <c r="AC689" t="s">
        <v>70</v>
      </c>
      <c r="AD689" t="s">
        <v>71</v>
      </c>
      <c r="AE689" t="s">
        <v>77</v>
      </c>
      <c r="AF689" t="s">
        <v>67</v>
      </c>
      <c r="AG689" t="s">
        <v>2154</v>
      </c>
      <c r="AH689" t="b">
        <v>0</v>
      </c>
      <c r="AI689" t="b">
        <v>0</v>
      </c>
      <c r="AJ689" t="b">
        <v>0</v>
      </c>
      <c r="AK689" t="b">
        <v>1</v>
      </c>
      <c r="AL689" s="6">
        <v>42.3</v>
      </c>
      <c r="AM689" s="3">
        <v>46280.479166666657</v>
      </c>
      <c r="AN689">
        <v>1</v>
      </c>
      <c r="AO689" s="3"/>
      <c r="AT689" t="b">
        <v>0</v>
      </c>
      <c r="AU689" t="s">
        <v>74</v>
      </c>
      <c r="AV689" t="b">
        <v>1</v>
      </c>
      <c r="AW689" t="b">
        <v>0</v>
      </c>
      <c r="AX689" s="5">
        <v>0</v>
      </c>
      <c r="AY689" s="3"/>
      <c r="AZ689" t="s">
        <v>67</v>
      </c>
      <c r="BA689" t="s">
        <v>67</v>
      </c>
      <c r="BB689" t="s">
        <v>317</v>
      </c>
    </row>
    <row r="690" spans="1:54" x14ac:dyDescent="0.3">
      <c r="A690">
        <v>1</v>
      </c>
      <c r="B690">
        <v>15</v>
      </c>
      <c r="C690" t="s">
        <v>54</v>
      </c>
      <c r="D690" s="3">
        <v>46279.704583333332</v>
      </c>
      <c r="E690" s="8">
        <v>46279</v>
      </c>
      <c r="F690" t="s">
        <v>2155</v>
      </c>
      <c r="G690" t="s">
        <v>56</v>
      </c>
      <c r="H690" t="s">
        <v>2156</v>
      </c>
      <c r="I690" t="s">
        <v>2157</v>
      </c>
      <c r="J690" t="s">
        <v>1044</v>
      </c>
      <c r="L690" t="s">
        <v>1045</v>
      </c>
      <c r="M690" t="s">
        <v>1046</v>
      </c>
      <c r="N690" t="s">
        <v>1046</v>
      </c>
      <c r="O690" t="s">
        <v>1047</v>
      </c>
      <c r="P690" t="s">
        <v>1048</v>
      </c>
      <c r="Q690" s="5">
        <v>1</v>
      </c>
      <c r="R690" s="6">
        <v>400</v>
      </c>
      <c r="S690" s="6">
        <v>400</v>
      </c>
      <c r="T690" s="6">
        <v>250</v>
      </c>
      <c r="U690" s="3">
        <v>46286.458333333343</v>
      </c>
      <c r="W690" t="s">
        <v>2158</v>
      </c>
      <c r="X690" t="s">
        <v>70</v>
      </c>
      <c r="Y690" t="s">
        <v>23</v>
      </c>
      <c r="Z690" t="s">
        <v>69</v>
      </c>
      <c r="AA690" t="s">
        <v>69</v>
      </c>
      <c r="AB690" t="s">
        <v>67</v>
      </c>
      <c r="AC690" t="s">
        <v>67</v>
      </c>
      <c r="AD690" t="s">
        <v>1049</v>
      </c>
      <c r="AE690" t="s">
        <v>102</v>
      </c>
      <c r="AF690" t="s">
        <v>67</v>
      </c>
      <c r="AH690" t="b">
        <v>0</v>
      </c>
      <c r="AI690" t="b">
        <v>0</v>
      </c>
      <c r="AJ690" t="b">
        <v>0</v>
      </c>
      <c r="AK690" t="b">
        <v>0</v>
      </c>
      <c r="AL690" s="6">
        <v>250</v>
      </c>
      <c r="AM690" s="3">
        <v>46279.5</v>
      </c>
      <c r="AN690">
        <v>1</v>
      </c>
      <c r="AO690" s="3"/>
      <c r="AP690" t="s">
        <v>112</v>
      </c>
      <c r="AQ690" t="s">
        <v>112</v>
      </c>
      <c r="AR690" t="s">
        <v>203</v>
      </c>
      <c r="AS690">
        <v>1</v>
      </c>
      <c r="AT690" t="b">
        <v>0</v>
      </c>
      <c r="AU690" t="s">
        <v>114</v>
      </c>
      <c r="AV690" t="b">
        <v>1</v>
      </c>
      <c r="AW690" t="b">
        <v>0</v>
      </c>
      <c r="AX690" s="5">
        <v>0</v>
      </c>
      <c r="AY690" s="3"/>
      <c r="AZ690" t="s">
        <v>67</v>
      </c>
      <c r="BA690" t="s">
        <v>67</v>
      </c>
      <c r="BB690" t="s">
        <v>997</v>
      </c>
    </row>
    <row r="691" spans="1:54" x14ac:dyDescent="0.3">
      <c r="A691">
        <v>1</v>
      </c>
      <c r="B691">
        <v>15</v>
      </c>
      <c r="C691" t="s">
        <v>54</v>
      </c>
      <c r="D691" s="3">
        <v>46279.710381944453</v>
      </c>
      <c r="E691" s="8">
        <v>46279</v>
      </c>
      <c r="F691" t="s">
        <v>2159</v>
      </c>
      <c r="G691" t="s">
        <v>56</v>
      </c>
      <c r="H691" t="s">
        <v>2160</v>
      </c>
      <c r="I691" t="s">
        <v>2161</v>
      </c>
      <c r="J691" t="s">
        <v>1044</v>
      </c>
      <c r="L691" t="s">
        <v>1045</v>
      </c>
      <c r="M691" t="s">
        <v>1046</v>
      </c>
      <c r="N691" t="s">
        <v>1046</v>
      </c>
      <c r="O691" t="s">
        <v>1047</v>
      </c>
      <c r="P691" t="s">
        <v>1048</v>
      </c>
      <c r="Q691" s="5">
        <v>1</v>
      </c>
      <c r="R691" s="6">
        <v>400</v>
      </c>
      <c r="S691" s="6">
        <v>400</v>
      </c>
      <c r="T691" s="6">
        <v>250</v>
      </c>
      <c r="U691" s="3">
        <v>46342.333333333343</v>
      </c>
      <c r="W691" t="s">
        <v>2162</v>
      </c>
      <c r="X691" t="s">
        <v>70</v>
      </c>
      <c r="Y691" t="s">
        <v>23</v>
      </c>
      <c r="Z691" t="s">
        <v>69</v>
      </c>
      <c r="AA691" t="s">
        <v>69</v>
      </c>
      <c r="AB691" t="s">
        <v>67</v>
      </c>
      <c r="AC691" t="s">
        <v>67</v>
      </c>
      <c r="AD691" t="s">
        <v>1049</v>
      </c>
      <c r="AE691" t="s">
        <v>102</v>
      </c>
      <c r="AF691" t="s">
        <v>67</v>
      </c>
      <c r="AH691" t="b">
        <v>0</v>
      </c>
      <c r="AI691" t="b">
        <v>0</v>
      </c>
      <c r="AJ691" t="b">
        <v>0</v>
      </c>
      <c r="AK691" t="b">
        <v>0</v>
      </c>
      <c r="AL691" s="6">
        <v>250</v>
      </c>
      <c r="AM691" s="3">
        <v>46342.333333333343</v>
      </c>
      <c r="AN691">
        <v>1</v>
      </c>
      <c r="AO691" s="3"/>
      <c r="AP691" t="s">
        <v>112</v>
      </c>
      <c r="AQ691" t="s">
        <v>112</v>
      </c>
      <c r="AR691" t="s">
        <v>203</v>
      </c>
      <c r="AS691">
        <v>1</v>
      </c>
      <c r="AT691" t="b">
        <v>0</v>
      </c>
      <c r="AU691" t="s">
        <v>114</v>
      </c>
      <c r="AV691" t="b">
        <v>1</v>
      </c>
      <c r="AW691" t="b">
        <v>0</v>
      </c>
      <c r="AX691" s="5">
        <v>0</v>
      </c>
      <c r="AY691" s="3"/>
      <c r="AZ691" t="s">
        <v>67</v>
      </c>
      <c r="BA691" t="s">
        <v>67</v>
      </c>
      <c r="BB691" t="s">
        <v>997</v>
      </c>
    </row>
    <row r="692" spans="1:54" x14ac:dyDescent="0.3">
      <c r="A692">
        <v>1</v>
      </c>
      <c r="B692">
        <v>15</v>
      </c>
      <c r="C692" t="s">
        <v>54</v>
      </c>
      <c r="D692" s="3">
        <v>46280.383657407408</v>
      </c>
      <c r="E692" s="8">
        <v>46280</v>
      </c>
      <c r="F692" t="s">
        <v>2163</v>
      </c>
      <c r="G692" t="s">
        <v>56</v>
      </c>
      <c r="H692" t="s">
        <v>2164</v>
      </c>
      <c r="I692" t="s">
        <v>2165</v>
      </c>
      <c r="J692" t="s">
        <v>59</v>
      </c>
      <c r="K692" t="s">
        <v>260</v>
      </c>
      <c r="L692" t="s">
        <v>61</v>
      </c>
      <c r="M692" t="s">
        <v>62</v>
      </c>
      <c r="N692" t="s">
        <v>62</v>
      </c>
      <c r="O692" t="s">
        <v>82</v>
      </c>
      <c r="P692" t="s">
        <v>83</v>
      </c>
      <c r="Q692" s="5">
        <v>1</v>
      </c>
      <c r="R692" s="6">
        <v>140</v>
      </c>
      <c r="S692" s="6">
        <v>140</v>
      </c>
      <c r="T692" s="6">
        <v>93.1</v>
      </c>
      <c r="U692" s="3">
        <v>46300.541666666657</v>
      </c>
      <c r="W692" t="s">
        <v>2166</v>
      </c>
      <c r="X692" t="s">
        <v>67</v>
      </c>
      <c r="Y692" t="s">
        <v>68</v>
      </c>
      <c r="Z692" t="s">
        <v>69</v>
      </c>
      <c r="AA692" t="s">
        <v>69</v>
      </c>
      <c r="AB692" t="s">
        <v>67</v>
      </c>
      <c r="AC692" t="s">
        <v>70</v>
      </c>
      <c r="AD692" t="s">
        <v>71</v>
      </c>
      <c r="AE692" t="s">
        <v>84</v>
      </c>
      <c r="AF692" t="s">
        <v>67</v>
      </c>
      <c r="AG692" t="s">
        <v>82</v>
      </c>
      <c r="AH692" t="b">
        <v>0</v>
      </c>
      <c r="AI692" t="b">
        <v>0</v>
      </c>
      <c r="AJ692" t="b">
        <v>0</v>
      </c>
      <c r="AK692" t="b">
        <v>0</v>
      </c>
      <c r="AL692" s="6">
        <v>93.1</v>
      </c>
      <c r="AM692" s="3">
        <v>46300.541666666657</v>
      </c>
      <c r="AN692">
        <v>1</v>
      </c>
      <c r="AO692" s="3"/>
      <c r="AT692" t="b">
        <v>0</v>
      </c>
      <c r="AU692" t="s">
        <v>74</v>
      </c>
      <c r="AV692" t="b">
        <v>1</v>
      </c>
      <c r="AW692" t="b">
        <v>0</v>
      </c>
      <c r="AX692" s="5">
        <v>0</v>
      </c>
      <c r="AY692" s="3"/>
      <c r="AZ692" t="s">
        <v>67</v>
      </c>
      <c r="BA692" t="s">
        <v>67</v>
      </c>
      <c r="BB692" t="s">
        <v>317</v>
      </c>
    </row>
    <row r="693" spans="1:54" x14ac:dyDescent="0.3">
      <c r="A693">
        <v>1</v>
      </c>
      <c r="B693">
        <v>15</v>
      </c>
      <c r="C693" t="s">
        <v>54</v>
      </c>
      <c r="D693" s="3">
        <v>46280.405752314808</v>
      </c>
      <c r="E693" s="8">
        <v>46280</v>
      </c>
      <c r="F693" t="s">
        <v>2167</v>
      </c>
      <c r="G693" t="s">
        <v>56</v>
      </c>
      <c r="H693" t="s">
        <v>257</v>
      </c>
      <c r="I693" t="s">
        <v>258</v>
      </c>
      <c r="J693" t="s">
        <v>59</v>
      </c>
      <c r="L693" t="s">
        <v>106</v>
      </c>
      <c r="M693" t="s">
        <v>63</v>
      </c>
      <c r="O693" t="s">
        <v>82</v>
      </c>
      <c r="P693" t="s">
        <v>83</v>
      </c>
      <c r="Q693" s="5">
        <v>1</v>
      </c>
      <c r="R693" s="6">
        <v>140</v>
      </c>
      <c r="S693" s="6">
        <v>140</v>
      </c>
      <c r="T693" s="6">
        <v>93.1</v>
      </c>
      <c r="U693" s="3">
        <v>46302.479166666657</v>
      </c>
      <c r="W693" t="s">
        <v>2168</v>
      </c>
      <c r="X693" t="s">
        <v>67</v>
      </c>
      <c r="Y693" t="s">
        <v>68</v>
      </c>
      <c r="Z693" t="s">
        <v>521</v>
      </c>
      <c r="AA693" t="s">
        <v>522</v>
      </c>
      <c r="AB693" t="s">
        <v>67</v>
      </c>
      <c r="AC693" t="s">
        <v>67</v>
      </c>
      <c r="AD693" t="s">
        <v>71</v>
      </c>
      <c r="AE693" t="s">
        <v>84</v>
      </c>
      <c r="AF693" t="s">
        <v>67</v>
      </c>
      <c r="AG693" t="s">
        <v>82</v>
      </c>
      <c r="AH693" t="b">
        <v>0</v>
      </c>
      <c r="AI693" t="b">
        <v>0</v>
      </c>
      <c r="AJ693" t="b">
        <v>0</v>
      </c>
      <c r="AK693" t="b">
        <v>0</v>
      </c>
      <c r="AL693" s="6">
        <v>93.1</v>
      </c>
      <c r="AM693" s="3">
        <v>46300.458333333343</v>
      </c>
      <c r="AN693">
        <v>1</v>
      </c>
      <c r="AO693" s="3"/>
      <c r="AT693" t="b">
        <v>0</v>
      </c>
      <c r="AU693" t="s">
        <v>74</v>
      </c>
      <c r="AV693" t="b">
        <v>1</v>
      </c>
      <c r="AW693" t="b">
        <v>0</v>
      </c>
      <c r="AX693" s="5">
        <v>0</v>
      </c>
      <c r="AY693" s="3"/>
      <c r="AZ693" t="s">
        <v>67</v>
      </c>
      <c r="BA693" t="s">
        <v>67</v>
      </c>
      <c r="BB693" t="s">
        <v>317</v>
      </c>
    </row>
    <row r="694" spans="1:54" x14ac:dyDescent="0.3">
      <c r="A694">
        <v>1</v>
      </c>
      <c r="B694">
        <v>15</v>
      </c>
      <c r="C694" t="s">
        <v>54</v>
      </c>
      <c r="D694" s="3">
        <v>46280.405752314808</v>
      </c>
      <c r="E694" s="8">
        <v>46280</v>
      </c>
      <c r="F694" t="s">
        <v>2167</v>
      </c>
      <c r="G694" t="s">
        <v>56</v>
      </c>
      <c r="H694" t="s">
        <v>257</v>
      </c>
      <c r="I694" t="s">
        <v>258</v>
      </c>
      <c r="J694" t="s">
        <v>59</v>
      </c>
      <c r="L694" t="s">
        <v>106</v>
      </c>
      <c r="M694" t="s">
        <v>63</v>
      </c>
      <c r="O694" t="s">
        <v>2169</v>
      </c>
      <c r="P694" t="s">
        <v>2170</v>
      </c>
      <c r="Q694" s="5">
        <v>1</v>
      </c>
      <c r="R694" s="6">
        <v>170.78</v>
      </c>
      <c r="S694" s="6">
        <v>170.78</v>
      </c>
      <c r="T694" s="6">
        <v>54</v>
      </c>
      <c r="U694" s="3">
        <v>46302.479166666657</v>
      </c>
      <c r="W694" t="s">
        <v>2168</v>
      </c>
      <c r="X694" t="s">
        <v>67</v>
      </c>
      <c r="Y694" t="s">
        <v>68</v>
      </c>
      <c r="Z694" t="s">
        <v>521</v>
      </c>
      <c r="AA694" t="s">
        <v>522</v>
      </c>
      <c r="AB694" t="s">
        <v>67</v>
      </c>
      <c r="AC694" t="s">
        <v>67</v>
      </c>
      <c r="AD694" t="s">
        <v>71</v>
      </c>
      <c r="AE694" t="s">
        <v>77</v>
      </c>
      <c r="AF694" t="s">
        <v>67</v>
      </c>
      <c r="AG694" t="s">
        <v>2171</v>
      </c>
      <c r="AH694" t="b">
        <v>0</v>
      </c>
      <c r="AI694" t="b">
        <v>0</v>
      </c>
      <c r="AJ694" t="b">
        <v>0</v>
      </c>
      <c r="AK694" t="b">
        <v>0</v>
      </c>
      <c r="AL694" s="6">
        <v>54</v>
      </c>
      <c r="AM694" s="3">
        <v>46300.458333333343</v>
      </c>
      <c r="AN694">
        <v>1</v>
      </c>
      <c r="AO694" s="3"/>
      <c r="AT694" t="b">
        <v>0</v>
      </c>
      <c r="AU694" t="s">
        <v>74</v>
      </c>
      <c r="AV694" t="b">
        <v>1</v>
      </c>
      <c r="AW694" t="b">
        <v>0</v>
      </c>
      <c r="AX694" s="5">
        <v>0</v>
      </c>
      <c r="AY694" s="3"/>
      <c r="AZ694" t="s">
        <v>67</v>
      </c>
      <c r="BA694" t="s">
        <v>67</v>
      </c>
      <c r="BB694" t="s">
        <v>317</v>
      </c>
    </row>
    <row r="695" spans="1:54" x14ac:dyDescent="0.3">
      <c r="A695">
        <v>1</v>
      </c>
      <c r="B695">
        <v>15</v>
      </c>
      <c r="C695" t="s">
        <v>54</v>
      </c>
      <c r="D695" s="3">
        <v>46280.405752314808</v>
      </c>
      <c r="E695" s="8">
        <v>46280</v>
      </c>
      <c r="F695" t="s">
        <v>2167</v>
      </c>
      <c r="G695" t="s">
        <v>56</v>
      </c>
      <c r="H695" t="s">
        <v>257</v>
      </c>
      <c r="I695" t="s">
        <v>258</v>
      </c>
      <c r="J695" t="s">
        <v>59</v>
      </c>
      <c r="L695" t="s">
        <v>106</v>
      </c>
      <c r="M695" t="s">
        <v>63</v>
      </c>
      <c r="O695" t="s">
        <v>1871</v>
      </c>
      <c r="P695" t="s">
        <v>1872</v>
      </c>
      <c r="Q695" s="5">
        <v>1</v>
      </c>
      <c r="R695" s="6">
        <v>570</v>
      </c>
      <c r="S695" s="6">
        <v>570</v>
      </c>
      <c r="T695" s="6">
        <v>200.25</v>
      </c>
      <c r="U695" s="3">
        <v>46302.479166666657</v>
      </c>
      <c r="W695" t="s">
        <v>2168</v>
      </c>
      <c r="X695" t="s">
        <v>67</v>
      </c>
      <c r="Y695" t="s">
        <v>68</v>
      </c>
      <c r="Z695" t="s">
        <v>521</v>
      </c>
      <c r="AA695" t="s">
        <v>522</v>
      </c>
      <c r="AB695" t="s">
        <v>67</v>
      </c>
      <c r="AC695" t="s">
        <v>67</v>
      </c>
      <c r="AD695" t="s">
        <v>71</v>
      </c>
      <c r="AE695" t="s">
        <v>77</v>
      </c>
      <c r="AF695" t="s">
        <v>67</v>
      </c>
      <c r="AG695" t="s">
        <v>1873</v>
      </c>
      <c r="AH695" t="b">
        <v>0</v>
      </c>
      <c r="AI695" t="b">
        <v>0</v>
      </c>
      <c r="AJ695" t="b">
        <v>0</v>
      </c>
      <c r="AK695" t="b">
        <v>0</v>
      </c>
      <c r="AL695" s="6">
        <v>200.25</v>
      </c>
      <c r="AM695" s="3">
        <v>46300.458333333343</v>
      </c>
      <c r="AN695">
        <v>1</v>
      </c>
      <c r="AO695" s="3"/>
      <c r="AT695" t="b">
        <v>0</v>
      </c>
      <c r="AU695" t="s">
        <v>74</v>
      </c>
      <c r="AV695" t="b">
        <v>1</v>
      </c>
      <c r="AW695" t="b">
        <v>0</v>
      </c>
      <c r="AX695" s="5">
        <v>0</v>
      </c>
      <c r="AY695" s="3"/>
      <c r="AZ695" t="s">
        <v>67</v>
      </c>
      <c r="BA695" t="s">
        <v>67</v>
      </c>
      <c r="BB695" t="s">
        <v>317</v>
      </c>
    </row>
    <row r="696" spans="1:54" x14ac:dyDescent="0.3">
      <c r="A696">
        <v>1</v>
      </c>
      <c r="B696">
        <v>15</v>
      </c>
      <c r="C696" t="s">
        <v>54</v>
      </c>
      <c r="D696" s="3">
        <v>46280.405752314808</v>
      </c>
      <c r="E696" s="8">
        <v>46280</v>
      </c>
      <c r="F696" t="s">
        <v>2167</v>
      </c>
      <c r="G696" t="s">
        <v>56</v>
      </c>
      <c r="H696" t="s">
        <v>257</v>
      </c>
      <c r="I696" t="s">
        <v>258</v>
      </c>
      <c r="J696" t="s">
        <v>59</v>
      </c>
      <c r="L696" t="s">
        <v>106</v>
      </c>
      <c r="M696" t="s">
        <v>63</v>
      </c>
      <c r="O696" t="s">
        <v>64</v>
      </c>
      <c r="P696" t="s">
        <v>65</v>
      </c>
      <c r="Q696" s="5">
        <v>1</v>
      </c>
      <c r="R696" s="6">
        <v>237</v>
      </c>
      <c r="S696" s="6">
        <v>237</v>
      </c>
      <c r="T696" s="6">
        <v>157.5</v>
      </c>
      <c r="U696" s="3">
        <v>46302.479166666657</v>
      </c>
      <c r="W696" t="s">
        <v>2168</v>
      </c>
      <c r="X696" t="s">
        <v>67</v>
      </c>
      <c r="Y696" t="s">
        <v>68</v>
      </c>
      <c r="Z696" t="s">
        <v>521</v>
      </c>
      <c r="AA696" t="s">
        <v>522</v>
      </c>
      <c r="AB696" t="s">
        <v>67</v>
      </c>
      <c r="AC696" t="s">
        <v>67</v>
      </c>
      <c r="AD696" t="s">
        <v>71</v>
      </c>
      <c r="AE696" t="s">
        <v>72</v>
      </c>
      <c r="AF696" t="s">
        <v>67</v>
      </c>
      <c r="AG696" t="s">
        <v>73</v>
      </c>
      <c r="AH696" t="b">
        <v>0</v>
      </c>
      <c r="AI696" t="b">
        <v>0</v>
      </c>
      <c r="AJ696" t="b">
        <v>0</v>
      </c>
      <c r="AK696" t="b">
        <v>0</v>
      </c>
      <c r="AL696" s="6">
        <v>157.5</v>
      </c>
      <c r="AM696" s="3">
        <v>46300.458333333343</v>
      </c>
      <c r="AN696">
        <v>1</v>
      </c>
      <c r="AO696" s="3"/>
      <c r="AT696" t="b">
        <v>0</v>
      </c>
      <c r="AU696" t="s">
        <v>74</v>
      </c>
      <c r="AV696" t="b">
        <v>1</v>
      </c>
      <c r="AW696" t="b">
        <v>0</v>
      </c>
      <c r="AX696" s="5">
        <v>0</v>
      </c>
      <c r="AY696" s="3"/>
      <c r="AZ696" t="s">
        <v>67</v>
      </c>
      <c r="BA696" t="s">
        <v>67</v>
      </c>
      <c r="BB696" t="s">
        <v>317</v>
      </c>
    </row>
    <row r="697" spans="1:54" x14ac:dyDescent="0.3">
      <c r="A697">
        <v>1</v>
      </c>
      <c r="B697">
        <v>15</v>
      </c>
      <c r="C697" t="s">
        <v>54</v>
      </c>
      <c r="D697" s="3">
        <v>46280.4294212963</v>
      </c>
      <c r="E697" s="8">
        <v>46280</v>
      </c>
      <c r="F697" t="s">
        <v>2172</v>
      </c>
      <c r="G697" t="s">
        <v>56</v>
      </c>
      <c r="H697" t="s">
        <v>2173</v>
      </c>
      <c r="I697" t="s">
        <v>2174</v>
      </c>
      <c r="J697" t="s">
        <v>59</v>
      </c>
      <c r="K697" t="s">
        <v>282</v>
      </c>
      <c r="L697" t="s">
        <v>61</v>
      </c>
      <c r="M697" t="s">
        <v>62</v>
      </c>
      <c r="N697" t="s">
        <v>62</v>
      </c>
      <c r="O697" t="s">
        <v>82</v>
      </c>
      <c r="P697" t="s">
        <v>83</v>
      </c>
      <c r="Q697" s="5">
        <v>1</v>
      </c>
      <c r="R697" s="6">
        <v>140</v>
      </c>
      <c r="S697" s="6">
        <v>140</v>
      </c>
      <c r="T697" s="6">
        <v>93.1</v>
      </c>
      <c r="U697" s="3">
        <v>46280.28125</v>
      </c>
      <c r="W697" t="s">
        <v>2175</v>
      </c>
      <c r="X697" t="s">
        <v>67</v>
      </c>
      <c r="Y697" t="s">
        <v>68</v>
      </c>
      <c r="Z697" t="s">
        <v>69</v>
      </c>
      <c r="AA697" t="s">
        <v>69</v>
      </c>
      <c r="AB697" t="s">
        <v>67</v>
      </c>
      <c r="AC697" t="s">
        <v>70</v>
      </c>
      <c r="AD697" t="s">
        <v>71</v>
      </c>
      <c r="AE697" t="s">
        <v>84</v>
      </c>
      <c r="AF697" t="s">
        <v>67</v>
      </c>
      <c r="AG697" t="s">
        <v>82</v>
      </c>
      <c r="AH697" t="b">
        <v>0</v>
      </c>
      <c r="AI697" t="b">
        <v>1</v>
      </c>
      <c r="AJ697" t="b">
        <v>1</v>
      </c>
      <c r="AK697" t="b">
        <v>1</v>
      </c>
      <c r="AL697" s="6">
        <v>93.1</v>
      </c>
      <c r="AM697" s="3">
        <v>46280.28125</v>
      </c>
      <c r="AN697">
        <v>1</v>
      </c>
      <c r="AO697" s="3"/>
      <c r="AT697" t="b">
        <v>0</v>
      </c>
      <c r="AU697" t="s">
        <v>74</v>
      </c>
      <c r="AV697" t="b">
        <v>1</v>
      </c>
      <c r="AW697" t="b">
        <v>0</v>
      </c>
      <c r="AX697" s="5">
        <v>0</v>
      </c>
      <c r="AY697" s="3"/>
      <c r="AZ697" t="s">
        <v>67</v>
      </c>
      <c r="BA697" t="s">
        <v>67</v>
      </c>
      <c r="BB697" t="s">
        <v>317</v>
      </c>
    </row>
    <row r="698" spans="1:54" x14ac:dyDescent="0.3">
      <c r="A698">
        <v>1</v>
      </c>
      <c r="B698">
        <v>15</v>
      </c>
      <c r="C698" t="s">
        <v>54</v>
      </c>
      <c r="D698" s="3">
        <v>46280.4294212963</v>
      </c>
      <c r="E698" s="8">
        <v>46280</v>
      </c>
      <c r="F698" t="s">
        <v>2172</v>
      </c>
      <c r="G698" t="s">
        <v>56</v>
      </c>
      <c r="H698" t="s">
        <v>2173</v>
      </c>
      <c r="I698" t="s">
        <v>2174</v>
      </c>
      <c r="J698" t="s">
        <v>59</v>
      </c>
      <c r="K698" t="s">
        <v>282</v>
      </c>
      <c r="L698" t="s">
        <v>61</v>
      </c>
      <c r="M698" t="s">
        <v>62</v>
      </c>
      <c r="N698" t="s">
        <v>62</v>
      </c>
      <c r="O698" t="s">
        <v>204</v>
      </c>
      <c r="P698" t="s">
        <v>205</v>
      </c>
      <c r="Q698" s="5">
        <v>3</v>
      </c>
      <c r="R698" s="6">
        <v>87</v>
      </c>
      <c r="S698" s="6">
        <v>261</v>
      </c>
      <c r="T698" s="6">
        <v>94.5</v>
      </c>
      <c r="U698" s="3">
        <v>46280.28125</v>
      </c>
      <c r="W698" t="s">
        <v>2175</v>
      </c>
      <c r="X698" t="s">
        <v>67</v>
      </c>
      <c r="Y698" t="s">
        <v>68</v>
      </c>
      <c r="Z698" t="s">
        <v>69</v>
      </c>
      <c r="AA698" t="s">
        <v>69</v>
      </c>
      <c r="AB698" t="s">
        <v>67</v>
      </c>
      <c r="AC698" t="s">
        <v>70</v>
      </c>
      <c r="AD698" t="s">
        <v>71</v>
      </c>
      <c r="AE698" t="s">
        <v>77</v>
      </c>
      <c r="AF698" t="s">
        <v>67</v>
      </c>
      <c r="AG698" t="s">
        <v>206</v>
      </c>
      <c r="AH698" t="b">
        <v>0</v>
      </c>
      <c r="AI698" t="b">
        <v>1</v>
      </c>
      <c r="AJ698" t="b">
        <v>1</v>
      </c>
      <c r="AK698" t="b">
        <v>1</v>
      </c>
      <c r="AL698" s="6">
        <v>31.5</v>
      </c>
      <c r="AM698" s="3">
        <v>46280.28125</v>
      </c>
      <c r="AN698">
        <v>1</v>
      </c>
      <c r="AO698" s="3"/>
      <c r="AT698" t="b">
        <v>0</v>
      </c>
      <c r="AU698" t="s">
        <v>74</v>
      </c>
      <c r="AV698" t="b">
        <v>1</v>
      </c>
      <c r="AW698" t="b">
        <v>0</v>
      </c>
      <c r="AX698" s="5">
        <v>0</v>
      </c>
      <c r="AY698" s="3"/>
      <c r="AZ698" t="s">
        <v>67</v>
      </c>
      <c r="BA698" t="s">
        <v>67</v>
      </c>
      <c r="BB698" t="s">
        <v>317</v>
      </c>
    </row>
    <row r="699" spans="1:54" x14ac:dyDescent="0.3">
      <c r="A699">
        <v>1</v>
      </c>
      <c r="B699">
        <v>15</v>
      </c>
      <c r="C699" t="s">
        <v>54</v>
      </c>
      <c r="D699" s="3">
        <v>46280.4294212963</v>
      </c>
      <c r="E699" s="8">
        <v>46280</v>
      </c>
      <c r="F699" t="s">
        <v>2172</v>
      </c>
      <c r="G699" t="s">
        <v>56</v>
      </c>
      <c r="H699" t="s">
        <v>2173</v>
      </c>
      <c r="I699" t="s">
        <v>2174</v>
      </c>
      <c r="J699" t="s">
        <v>59</v>
      </c>
      <c r="K699" t="s">
        <v>282</v>
      </c>
      <c r="L699" t="s">
        <v>61</v>
      </c>
      <c r="M699" t="s">
        <v>62</v>
      </c>
      <c r="N699" t="s">
        <v>62</v>
      </c>
      <c r="O699" t="s">
        <v>175</v>
      </c>
      <c r="P699" t="s">
        <v>176</v>
      </c>
      <c r="Q699" s="5">
        <v>1</v>
      </c>
      <c r="R699" s="6">
        <v>570</v>
      </c>
      <c r="S699" s="6">
        <v>570</v>
      </c>
      <c r="T699" s="6">
        <v>200.25</v>
      </c>
      <c r="U699" s="3">
        <v>46280.28125</v>
      </c>
      <c r="W699" t="s">
        <v>2175</v>
      </c>
      <c r="X699" t="s">
        <v>67</v>
      </c>
      <c r="Y699" t="s">
        <v>68</v>
      </c>
      <c r="Z699" t="s">
        <v>69</v>
      </c>
      <c r="AA699" t="s">
        <v>69</v>
      </c>
      <c r="AB699" t="s">
        <v>67</v>
      </c>
      <c r="AC699" t="s">
        <v>70</v>
      </c>
      <c r="AD699" t="s">
        <v>71</v>
      </c>
      <c r="AE699" t="s">
        <v>77</v>
      </c>
      <c r="AF699" t="s">
        <v>67</v>
      </c>
      <c r="AG699" t="s">
        <v>177</v>
      </c>
      <c r="AH699" t="b">
        <v>0</v>
      </c>
      <c r="AI699" t="b">
        <v>1</v>
      </c>
      <c r="AJ699" t="b">
        <v>1</v>
      </c>
      <c r="AK699" t="b">
        <v>1</v>
      </c>
      <c r="AL699" s="6">
        <v>200.25</v>
      </c>
      <c r="AM699" s="3">
        <v>46280.28125</v>
      </c>
      <c r="AN699">
        <v>1</v>
      </c>
      <c r="AO699" s="3"/>
      <c r="AT699" t="b">
        <v>0</v>
      </c>
      <c r="AU699" t="s">
        <v>74</v>
      </c>
      <c r="AV699" t="b">
        <v>1</v>
      </c>
      <c r="AW699" t="b">
        <v>0</v>
      </c>
      <c r="AX699" s="5">
        <v>0</v>
      </c>
      <c r="AY699" s="3"/>
      <c r="AZ699" t="s">
        <v>67</v>
      </c>
      <c r="BA699" t="s">
        <v>67</v>
      </c>
      <c r="BB699" t="s">
        <v>317</v>
      </c>
    </row>
    <row r="700" spans="1:54" x14ac:dyDescent="0.3">
      <c r="A700">
        <v>1</v>
      </c>
      <c r="B700">
        <v>15</v>
      </c>
      <c r="C700" t="s">
        <v>54</v>
      </c>
      <c r="D700" s="3">
        <v>46280.4294212963</v>
      </c>
      <c r="E700" s="8">
        <v>46280</v>
      </c>
      <c r="F700" t="s">
        <v>2172</v>
      </c>
      <c r="G700" t="s">
        <v>56</v>
      </c>
      <c r="H700" t="s">
        <v>2173</v>
      </c>
      <c r="I700" t="s">
        <v>2174</v>
      </c>
      <c r="J700" t="s">
        <v>59</v>
      </c>
      <c r="K700" t="s">
        <v>282</v>
      </c>
      <c r="L700" t="s">
        <v>61</v>
      </c>
      <c r="M700" t="s">
        <v>62</v>
      </c>
      <c r="N700" t="s">
        <v>62</v>
      </c>
      <c r="O700" t="s">
        <v>207</v>
      </c>
      <c r="P700" t="s">
        <v>208</v>
      </c>
      <c r="Q700" s="5">
        <v>2</v>
      </c>
      <c r="R700" s="6">
        <v>570</v>
      </c>
      <c r="S700" s="6">
        <v>1140</v>
      </c>
      <c r="T700" s="6">
        <v>400.5</v>
      </c>
      <c r="U700" s="3">
        <v>46280.28125</v>
      </c>
      <c r="W700" t="s">
        <v>2175</v>
      </c>
      <c r="X700" t="s">
        <v>67</v>
      </c>
      <c r="Y700" t="s">
        <v>68</v>
      </c>
      <c r="Z700" t="s">
        <v>69</v>
      </c>
      <c r="AA700" t="s">
        <v>69</v>
      </c>
      <c r="AB700" t="s">
        <v>67</v>
      </c>
      <c r="AC700" t="s">
        <v>70</v>
      </c>
      <c r="AD700" t="s">
        <v>71</v>
      </c>
      <c r="AE700" t="s">
        <v>77</v>
      </c>
      <c r="AF700" t="s">
        <v>67</v>
      </c>
      <c r="AG700" t="s">
        <v>209</v>
      </c>
      <c r="AH700" t="b">
        <v>0</v>
      </c>
      <c r="AI700" t="b">
        <v>1</v>
      </c>
      <c r="AJ700" t="b">
        <v>1</v>
      </c>
      <c r="AK700" t="b">
        <v>1</v>
      </c>
      <c r="AL700" s="6">
        <v>200.25</v>
      </c>
      <c r="AM700" s="3">
        <v>46280.28125</v>
      </c>
      <c r="AN700">
        <v>1</v>
      </c>
      <c r="AO700" s="3"/>
      <c r="AT700" t="b">
        <v>0</v>
      </c>
      <c r="AU700" t="s">
        <v>74</v>
      </c>
      <c r="AV700" t="b">
        <v>1</v>
      </c>
      <c r="AW700" t="b">
        <v>0</v>
      </c>
      <c r="AX700" s="5">
        <v>0</v>
      </c>
      <c r="AY700" s="3"/>
      <c r="AZ700" t="s">
        <v>67</v>
      </c>
      <c r="BA700" t="s">
        <v>67</v>
      </c>
      <c r="BB700" t="s">
        <v>317</v>
      </c>
    </row>
    <row r="701" spans="1:54" x14ac:dyDescent="0.3">
      <c r="A701">
        <v>1</v>
      </c>
      <c r="B701">
        <v>15</v>
      </c>
      <c r="C701" t="s">
        <v>54</v>
      </c>
      <c r="D701" s="3">
        <v>46280.436076388891</v>
      </c>
      <c r="E701" s="8">
        <v>46280</v>
      </c>
      <c r="F701" t="s">
        <v>2176</v>
      </c>
      <c r="G701" t="s">
        <v>56</v>
      </c>
      <c r="H701" t="s">
        <v>2177</v>
      </c>
      <c r="I701" t="s">
        <v>2178</v>
      </c>
      <c r="J701" t="s">
        <v>1044</v>
      </c>
      <c r="K701" t="s">
        <v>2179</v>
      </c>
      <c r="L701" t="s">
        <v>1045</v>
      </c>
      <c r="M701" t="s">
        <v>1046</v>
      </c>
      <c r="N701" t="s">
        <v>1046</v>
      </c>
      <c r="O701" t="s">
        <v>1047</v>
      </c>
      <c r="P701" t="s">
        <v>1048</v>
      </c>
      <c r="Q701" s="5">
        <v>1</v>
      </c>
      <c r="R701" s="6">
        <v>400</v>
      </c>
      <c r="S701" s="6">
        <v>400</v>
      </c>
      <c r="T701" s="6">
        <v>250</v>
      </c>
      <c r="U701" s="3">
        <v>46280.25</v>
      </c>
      <c r="W701" t="s">
        <v>2180</v>
      </c>
      <c r="X701" t="s">
        <v>70</v>
      </c>
      <c r="Y701" t="s">
        <v>23</v>
      </c>
      <c r="Z701" t="s">
        <v>69</v>
      </c>
      <c r="AA701" t="s">
        <v>69</v>
      </c>
      <c r="AB701" t="s">
        <v>67</v>
      </c>
      <c r="AC701" t="s">
        <v>67</v>
      </c>
      <c r="AD701" t="s">
        <v>1049</v>
      </c>
      <c r="AE701" t="s">
        <v>102</v>
      </c>
      <c r="AF701" t="s">
        <v>67</v>
      </c>
      <c r="AH701" t="b">
        <v>0</v>
      </c>
      <c r="AI701" t="b">
        <v>0</v>
      </c>
      <c r="AJ701" t="b">
        <v>0</v>
      </c>
      <c r="AK701" t="b">
        <v>0</v>
      </c>
      <c r="AL701" s="6">
        <v>250</v>
      </c>
      <c r="AM701" s="3">
        <v>46280.25</v>
      </c>
      <c r="AN701">
        <v>1</v>
      </c>
      <c r="AO701" s="3"/>
      <c r="AP701" t="s">
        <v>112</v>
      </c>
      <c r="AQ701" t="s">
        <v>112</v>
      </c>
      <c r="AR701" t="s">
        <v>203</v>
      </c>
      <c r="AS701">
        <v>1</v>
      </c>
      <c r="AT701" t="b">
        <v>0</v>
      </c>
      <c r="AU701" t="s">
        <v>114</v>
      </c>
      <c r="AV701" t="b">
        <v>1</v>
      </c>
      <c r="AW701" t="b">
        <v>0</v>
      </c>
      <c r="AX701" s="5">
        <v>0</v>
      </c>
      <c r="AY701" s="3"/>
      <c r="AZ701" t="s">
        <v>67</v>
      </c>
      <c r="BA701" t="s">
        <v>67</v>
      </c>
      <c r="BB701" t="s">
        <v>997</v>
      </c>
    </row>
    <row r="702" spans="1:54" x14ac:dyDescent="0.3">
      <c r="A702">
        <v>1</v>
      </c>
      <c r="B702">
        <v>15</v>
      </c>
      <c r="C702" t="s">
        <v>54</v>
      </c>
      <c r="D702" s="3">
        <v>46280.466493055559</v>
      </c>
      <c r="E702" s="8">
        <v>46280</v>
      </c>
      <c r="F702" t="s">
        <v>2181</v>
      </c>
      <c r="G702" t="s">
        <v>56</v>
      </c>
      <c r="H702" t="s">
        <v>2182</v>
      </c>
      <c r="I702" t="s">
        <v>2183</v>
      </c>
      <c r="J702" t="s">
        <v>59</v>
      </c>
      <c r="L702" t="s">
        <v>224</v>
      </c>
      <c r="M702" t="s">
        <v>62</v>
      </c>
      <c r="N702" t="s">
        <v>62</v>
      </c>
      <c r="O702" t="s">
        <v>82</v>
      </c>
      <c r="P702" t="s">
        <v>83</v>
      </c>
      <c r="Q702" s="5">
        <v>1</v>
      </c>
      <c r="R702" s="6">
        <v>140</v>
      </c>
      <c r="S702" s="6">
        <v>140</v>
      </c>
      <c r="T702" s="6">
        <v>93.1</v>
      </c>
      <c r="U702" s="3">
        <v>46300.270833333343</v>
      </c>
      <c r="W702" t="s">
        <v>2184</v>
      </c>
      <c r="X702" t="s">
        <v>67</v>
      </c>
      <c r="Y702" t="s">
        <v>68</v>
      </c>
      <c r="Z702" t="s">
        <v>69</v>
      </c>
      <c r="AA702" t="s">
        <v>69</v>
      </c>
      <c r="AB702" t="s">
        <v>67</v>
      </c>
      <c r="AC702" t="s">
        <v>70</v>
      </c>
      <c r="AD702" t="s">
        <v>71</v>
      </c>
      <c r="AE702" t="s">
        <v>84</v>
      </c>
      <c r="AF702" t="s">
        <v>67</v>
      </c>
      <c r="AG702" t="s">
        <v>82</v>
      </c>
      <c r="AH702" t="b">
        <v>0</v>
      </c>
      <c r="AI702" t="b">
        <v>0</v>
      </c>
      <c r="AJ702" t="b">
        <v>0</v>
      </c>
      <c r="AK702" t="b">
        <v>0</v>
      </c>
      <c r="AL702" s="6">
        <v>93.1</v>
      </c>
      <c r="AM702" s="3">
        <v>46300.270833333343</v>
      </c>
      <c r="AN702">
        <v>1</v>
      </c>
      <c r="AO702" s="3"/>
      <c r="AT702" t="b">
        <v>0</v>
      </c>
      <c r="AU702" t="s">
        <v>74</v>
      </c>
      <c r="AV702" t="b">
        <v>1</v>
      </c>
      <c r="AW702" t="b">
        <v>0</v>
      </c>
      <c r="AX702" s="5">
        <v>0</v>
      </c>
      <c r="AY702" s="3"/>
      <c r="AZ702" t="s">
        <v>67</v>
      </c>
      <c r="BA702" t="s">
        <v>67</v>
      </c>
      <c r="BB702" t="s">
        <v>317</v>
      </c>
    </row>
    <row r="703" spans="1:54" x14ac:dyDescent="0.3">
      <c r="A703">
        <v>1</v>
      </c>
      <c r="B703">
        <v>15</v>
      </c>
      <c r="C703" t="s">
        <v>54</v>
      </c>
      <c r="D703" s="3">
        <v>46280.466493055559</v>
      </c>
      <c r="E703" s="8">
        <v>46280</v>
      </c>
      <c r="F703" t="s">
        <v>2181</v>
      </c>
      <c r="G703" t="s">
        <v>56</v>
      </c>
      <c r="H703" t="s">
        <v>2182</v>
      </c>
      <c r="I703" t="s">
        <v>2183</v>
      </c>
      <c r="J703" t="s">
        <v>59</v>
      </c>
      <c r="L703" t="s">
        <v>224</v>
      </c>
      <c r="M703" t="s">
        <v>62</v>
      </c>
      <c r="N703" t="s">
        <v>62</v>
      </c>
      <c r="O703" t="s">
        <v>2185</v>
      </c>
      <c r="P703" t="s">
        <v>2186</v>
      </c>
      <c r="Q703" s="5">
        <v>1</v>
      </c>
      <c r="R703" s="6">
        <v>570</v>
      </c>
      <c r="S703" s="6">
        <v>570</v>
      </c>
      <c r="T703" s="6">
        <v>183.15</v>
      </c>
      <c r="U703" s="3">
        <v>46300.270833333343</v>
      </c>
      <c r="W703" t="s">
        <v>2184</v>
      </c>
      <c r="X703" t="s">
        <v>67</v>
      </c>
      <c r="Y703" t="s">
        <v>68</v>
      </c>
      <c r="Z703" t="s">
        <v>69</v>
      </c>
      <c r="AA703" t="s">
        <v>69</v>
      </c>
      <c r="AB703" t="s">
        <v>67</v>
      </c>
      <c r="AC703" t="s">
        <v>70</v>
      </c>
      <c r="AD703" t="s">
        <v>71</v>
      </c>
      <c r="AE703" t="s">
        <v>77</v>
      </c>
      <c r="AF703" t="s">
        <v>67</v>
      </c>
      <c r="AG703" t="s">
        <v>2187</v>
      </c>
      <c r="AH703" t="b">
        <v>0</v>
      </c>
      <c r="AI703" t="b">
        <v>0</v>
      </c>
      <c r="AJ703" t="b">
        <v>0</v>
      </c>
      <c r="AK703" t="b">
        <v>0</v>
      </c>
      <c r="AL703" s="6">
        <v>183.15</v>
      </c>
      <c r="AM703" s="3">
        <v>46300.270833333343</v>
      </c>
      <c r="AN703">
        <v>1</v>
      </c>
      <c r="AO703" s="3"/>
      <c r="AT703" t="b">
        <v>0</v>
      </c>
      <c r="AU703" t="s">
        <v>74</v>
      </c>
      <c r="AV703" t="b">
        <v>1</v>
      </c>
      <c r="AW703" t="b">
        <v>0</v>
      </c>
      <c r="AX703" s="5">
        <v>0</v>
      </c>
      <c r="AY703" s="3"/>
      <c r="AZ703" t="s">
        <v>67</v>
      </c>
      <c r="BA703" t="s">
        <v>67</v>
      </c>
      <c r="BB703" t="s">
        <v>317</v>
      </c>
    </row>
    <row r="704" spans="1:54" x14ac:dyDescent="0.3">
      <c r="A704">
        <v>1</v>
      </c>
      <c r="B704">
        <v>15</v>
      </c>
      <c r="C704" t="s">
        <v>54</v>
      </c>
      <c r="D704" s="3">
        <v>46280.466493055559</v>
      </c>
      <c r="E704" s="8">
        <v>46280</v>
      </c>
      <c r="F704" t="s">
        <v>2181</v>
      </c>
      <c r="G704" t="s">
        <v>56</v>
      </c>
      <c r="H704" t="s">
        <v>2182</v>
      </c>
      <c r="I704" t="s">
        <v>2183</v>
      </c>
      <c r="J704" t="s">
        <v>59</v>
      </c>
      <c r="L704" t="s">
        <v>224</v>
      </c>
      <c r="M704" t="s">
        <v>62</v>
      </c>
      <c r="N704" t="s">
        <v>62</v>
      </c>
      <c r="O704" t="s">
        <v>2188</v>
      </c>
      <c r="P704" t="s">
        <v>2189</v>
      </c>
      <c r="Q704" s="5">
        <v>1</v>
      </c>
      <c r="R704" s="6">
        <v>170.78</v>
      </c>
      <c r="S704" s="6">
        <v>170.78</v>
      </c>
      <c r="T704" s="6">
        <v>54</v>
      </c>
      <c r="U704" s="3">
        <v>46300.270833333343</v>
      </c>
      <c r="W704" t="s">
        <v>2184</v>
      </c>
      <c r="X704" t="s">
        <v>67</v>
      </c>
      <c r="Y704" t="s">
        <v>68</v>
      </c>
      <c r="Z704" t="s">
        <v>69</v>
      </c>
      <c r="AA704" t="s">
        <v>69</v>
      </c>
      <c r="AB704" t="s">
        <v>67</v>
      </c>
      <c r="AC704" t="s">
        <v>70</v>
      </c>
      <c r="AD704" t="s">
        <v>71</v>
      </c>
      <c r="AE704" t="s">
        <v>77</v>
      </c>
      <c r="AF704" t="s">
        <v>67</v>
      </c>
      <c r="AG704" t="s">
        <v>2190</v>
      </c>
      <c r="AH704" t="b">
        <v>0</v>
      </c>
      <c r="AI704" t="b">
        <v>0</v>
      </c>
      <c r="AJ704" t="b">
        <v>0</v>
      </c>
      <c r="AK704" t="b">
        <v>0</v>
      </c>
      <c r="AL704" s="6">
        <v>54</v>
      </c>
      <c r="AM704" s="3">
        <v>46300.270833333343</v>
      </c>
      <c r="AN704">
        <v>1</v>
      </c>
      <c r="AO704" s="3"/>
      <c r="AT704" t="b">
        <v>0</v>
      </c>
      <c r="AU704" t="s">
        <v>74</v>
      </c>
      <c r="AV704" t="b">
        <v>1</v>
      </c>
      <c r="AW704" t="b">
        <v>0</v>
      </c>
      <c r="AX704" s="5">
        <v>0</v>
      </c>
      <c r="AY704" s="3"/>
      <c r="AZ704" t="s">
        <v>67</v>
      </c>
      <c r="BA704" t="s">
        <v>67</v>
      </c>
      <c r="BB704" t="s">
        <v>317</v>
      </c>
    </row>
    <row r="705" spans="1:54" x14ac:dyDescent="0.3">
      <c r="A705">
        <v>1</v>
      </c>
      <c r="B705">
        <v>15</v>
      </c>
      <c r="C705" t="s">
        <v>54</v>
      </c>
      <c r="D705" s="3">
        <v>46280.466493055559</v>
      </c>
      <c r="E705" s="8">
        <v>46280</v>
      </c>
      <c r="F705" t="s">
        <v>2181</v>
      </c>
      <c r="G705" t="s">
        <v>56</v>
      </c>
      <c r="H705" t="s">
        <v>2182</v>
      </c>
      <c r="I705" t="s">
        <v>2183</v>
      </c>
      <c r="J705" t="s">
        <v>59</v>
      </c>
      <c r="L705" t="s">
        <v>224</v>
      </c>
      <c r="M705" t="s">
        <v>62</v>
      </c>
      <c r="N705" t="s">
        <v>62</v>
      </c>
      <c r="O705" t="s">
        <v>2191</v>
      </c>
      <c r="P705" t="s">
        <v>2192</v>
      </c>
      <c r="Q705" s="5">
        <v>1</v>
      </c>
      <c r="R705" s="6">
        <v>737</v>
      </c>
      <c r="S705" s="6">
        <v>737</v>
      </c>
      <c r="T705" s="6">
        <v>490.75</v>
      </c>
      <c r="U705" s="3">
        <v>46300.270833333343</v>
      </c>
      <c r="W705" t="s">
        <v>2184</v>
      </c>
      <c r="X705" t="s">
        <v>67</v>
      </c>
      <c r="Y705" t="s">
        <v>68</v>
      </c>
      <c r="Z705" t="s">
        <v>69</v>
      </c>
      <c r="AA705" t="s">
        <v>69</v>
      </c>
      <c r="AB705" t="s">
        <v>67</v>
      </c>
      <c r="AC705" t="s">
        <v>70</v>
      </c>
      <c r="AD705" t="s">
        <v>71</v>
      </c>
      <c r="AE705" t="s">
        <v>1007</v>
      </c>
      <c r="AF705" t="s">
        <v>67</v>
      </c>
      <c r="AG705" t="s">
        <v>2193</v>
      </c>
      <c r="AH705" t="b">
        <v>0</v>
      </c>
      <c r="AI705" t="b">
        <v>0</v>
      </c>
      <c r="AJ705" t="b">
        <v>0</v>
      </c>
      <c r="AK705" t="b">
        <v>0</v>
      </c>
      <c r="AL705" s="6">
        <v>490.75</v>
      </c>
      <c r="AM705" s="3">
        <v>46300.270833333343</v>
      </c>
      <c r="AN705">
        <v>1</v>
      </c>
      <c r="AO705" s="3"/>
      <c r="AT705" t="b">
        <v>0</v>
      </c>
      <c r="AU705" t="s">
        <v>74</v>
      </c>
      <c r="AV705" t="b">
        <v>1</v>
      </c>
      <c r="AW705" t="b">
        <v>0</v>
      </c>
      <c r="AX705" s="5">
        <v>0</v>
      </c>
      <c r="AY705" s="3"/>
      <c r="AZ705" t="s">
        <v>67</v>
      </c>
      <c r="BA705" t="s">
        <v>67</v>
      </c>
      <c r="BB705" t="s">
        <v>317</v>
      </c>
    </row>
    <row r="706" spans="1:54" x14ac:dyDescent="0.3">
      <c r="A706">
        <v>1</v>
      </c>
      <c r="B706">
        <v>15</v>
      </c>
      <c r="C706" t="s">
        <v>54</v>
      </c>
      <c r="D706" s="3">
        <v>46280.476458333331</v>
      </c>
      <c r="E706" s="8">
        <v>46280</v>
      </c>
      <c r="F706" t="s">
        <v>2194</v>
      </c>
      <c r="G706" t="s">
        <v>56</v>
      </c>
      <c r="H706" t="s">
        <v>2195</v>
      </c>
      <c r="I706" t="s">
        <v>2196</v>
      </c>
      <c r="J706" t="s">
        <v>1044</v>
      </c>
      <c r="K706" t="s">
        <v>2197</v>
      </c>
      <c r="L706" t="s">
        <v>1045</v>
      </c>
      <c r="M706" t="s">
        <v>1046</v>
      </c>
      <c r="N706" t="s">
        <v>1046</v>
      </c>
      <c r="O706" t="s">
        <v>1047</v>
      </c>
      <c r="P706" t="s">
        <v>1048</v>
      </c>
      <c r="Q706" s="5">
        <v>1</v>
      </c>
      <c r="R706" s="6">
        <v>400</v>
      </c>
      <c r="S706" s="6">
        <v>400</v>
      </c>
      <c r="T706" s="6">
        <v>250</v>
      </c>
      <c r="U706" s="3">
        <v>46280.291666666657</v>
      </c>
      <c r="W706" t="s">
        <v>2198</v>
      </c>
      <c r="X706" t="s">
        <v>70</v>
      </c>
      <c r="Y706" t="s">
        <v>23</v>
      </c>
      <c r="Z706" t="s">
        <v>69</v>
      </c>
      <c r="AA706" t="s">
        <v>69</v>
      </c>
      <c r="AB706" t="s">
        <v>67</v>
      </c>
      <c r="AC706" t="s">
        <v>67</v>
      </c>
      <c r="AD706" t="s">
        <v>1049</v>
      </c>
      <c r="AE706" t="s">
        <v>102</v>
      </c>
      <c r="AF706" t="s">
        <v>67</v>
      </c>
      <c r="AH706" t="b">
        <v>0</v>
      </c>
      <c r="AI706" t="b">
        <v>0</v>
      </c>
      <c r="AJ706" t="b">
        <v>0</v>
      </c>
      <c r="AK706" t="b">
        <v>0</v>
      </c>
      <c r="AL706" s="6">
        <v>250</v>
      </c>
      <c r="AM706" s="3">
        <v>46280.291666666657</v>
      </c>
      <c r="AN706">
        <v>1</v>
      </c>
      <c r="AO706" s="3"/>
      <c r="AP706" t="s">
        <v>112</v>
      </c>
      <c r="AQ706" t="s">
        <v>112</v>
      </c>
      <c r="AR706" t="s">
        <v>203</v>
      </c>
      <c r="AS706">
        <v>1</v>
      </c>
      <c r="AT706" t="b">
        <v>0</v>
      </c>
      <c r="AU706" t="s">
        <v>114</v>
      </c>
      <c r="AV706" t="b">
        <v>1</v>
      </c>
      <c r="AW706" t="b">
        <v>0</v>
      </c>
      <c r="AX706" s="5">
        <v>0</v>
      </c>
      <c r="AY706" s="3"/>
      <c r="AZ706" t="s">
        <v>67</v>
      </c>
      <c r="BA706" t="s">
        <v>67</v>
      </c>
      <c r="BB706" t="s">
        <v>997</v>
      </c>
    </row>
    <row r="707" spans="1:54" x14ac:dyDescent="0.3">
      <c r="A707">
        <v>1</v>
      </c>
      <c r="B707">
        <v>15</v>
      </c>
      <c r="C707" t="s">
        <v>54</v>
      </c>
      <c r="D707" s="3">
        <v>46280.486238425918</v>
      </c>
      <c r="E707" s="8">
        <v>46280</v>
      </c>
      <c r="F707" t="s">
        <v>2199</v>
      </c>
      <c r="G707" t="s">
        <v>56</v>
      </c>
      <c r="H707" t="s">
        <v>2200</v>
      </c>
      <c r="I707" t="s">
        <v>2201</v>
      </c>
      <c r="J707" t="s">
        <v>59</v>
      </c>
      <c r="L707" t="s">
        <v>224</v>
      </c>
      <c r="M707" t="s">
        <v>63</v>
      </c>
      <c r="N707" t="s">
        <v>63</v>
      </c>
      <c r="O707" t="s">
        <v>187</v>
      </c>
      <c r="P707" t="s">
        <v>188</v>
      </c>
      <c r="Q707" s="5">
        <v>1</v>
      </c>
      <c r="R707" s="6">
        <v>64.66</v>
      </c>
      <c r="S707" s="6">
        <v>64.66</v>
      </c>
      <c r="T707" s="6">
        <v>19.2</v>
      </c>
      <c r="U707" s="3">
        <v>46280.3125</v>
      </c>
      <c r="W707" t="s">
        <v>2202</v>
      </c>
      <c r="X707" t="s">
        <v>67</v>
      </c>
      <c r="Y707" t="s">
        <v>68</v>
      </c>
      <c r="Z707" t="s">
        <v>69</v>
      </c>
      <c r="AA707" t="s">
        <v>69</v>
      </c>
      <c r="AB707" t="s">
        <v>70</v>
      </c>
      <c r="AC707" t="s">
        <v>70</v>
      </c>
      <c r="AD707" t="s">
        <v>71</v>
      </c>
      <c r="AE707" t="s">
        <v>185</v>
      </c>
      <c r="AF707" t="s">
        <v>67</v>
      </c>
      <c r="AG707" t="s">
        <v>189</v>
      </c>
      <c r="AH707" t="b">
        <v>0</v>
      </c>
      <c r="AI707" t="b">
        <v>0</v>
      </c>
      <c r="AJ707" t="b">
        <v>0</v>
      </c>
      <c r="AK707" t="b">
        <v>1</v>
      </c>
      <c r="AL707" s="6">
        <v>19.2</v>
      </c>
      <c r="AM707" s="3">
        <v>46280.3125</v>
      </c>
      <c r="AN707">
        <v>1</v>
      </c>
      <c r="AO707" s="3"/>
      <c r="AT707" t="b">
        <v>0</v>
      </c>
      <c r="AU707" t="s">
        <v>74</v>
      </c>
      <c r="AV707" t="b">
        <v>1</v>
      </c>
      <c r="AW707" t="b">
        <v>0</v>
      </c>
      <c r="AX707" s="5">
        <v>0</v>
      </c>
      <c r="AY707" s="3"/>
      <c r="AZ707" t="s">
        <v>67</v>
      </c>
      <c r="BA707" t="s">
        <v>67</v>
      </c>
      <c r="BB707" t="s">
        <v>317</v>
      </c>
    </row>
    <row r="708" spans="1:54" x14ac:dyDescent="0.3">
      <c r="A708">
        <v>1</v>
      </c>
      <c r="B708">
        <v>15</v>
      </c>
      <c r="C708" t="s">
        <v>54</v>
      </c>
      <c r="D708" s="3">
        <v>46280.486238425918</v>
      </c>
      <c r="E708" s="8">
        <v>46280</v>
      </c>
      <c r="F708" t="s">
        <v>2199</v>
      </c>
      <c r="G708" t="s">
        <v>56</v>
      </c>
      <c r="H708" t="s">
        <v>2200</v>
      </c>
      <c r="I708" t="s">
        <v>2201</v>
      </c>
      <c r="J708" t="s">
        <v>59</v>
      </c>
      <c r="L708" t="s">
        <v>224</v>
      </c>
      <c r="M708" t="s">
        <v>63</v>
      </c>
      <c r="N708" t="s">
        <v>63</v>
      </c>
      <c r="O708" t="s">
        <v>2203</v>
      </c>
      <c r="P708" t="s">
        <v>2204</v>
      </c>
      <c r="Q708" s="5">
        <v>1</v>
      </c>
      <c r="R708" s="6">
        <v>214.72</v>
      </c>
      <c r="S708" s="6">
        <v>214.72</v>
      </c>
      <c r="T708" s="6">
        <v>64</v>
      </c>
      <c r="U708" s="3">
        <v>46280.3125</v>
      </c>
      <c r="W708" t="s">
        <v>2202</v>
      </c>
      <c r="X708" t="s">
        <v>67</v>
      </c>
      <c r="Y708" t="s">
        <v>68</v>
      </c>
      <c r="Z708" t="s">
        <v>69</v>
      </c>
      <c r="AA708" t="s">
        <v>69</v>
      </c>
      <c r="AB708" t="s">
        <v>70</v>
      </c>
      <c r="AC708" t="s">
        <v>70</v>
      </c>
      <c r="AD708" t="s">
        <v>71</v>
      </c>
      <c r="AE708" t="s">
        <v>185</v>
      </c>
      <c r="AF708" t="s">
        <v>67</v>
      </c>
      <c r="AG708" t="s">
        <v>2205</v>
      </c>
      <c r="AH708" t="b">
        <v>0</v>
      </c>
      <c r="AI708" t="b">
        <v>0</v>
      </c>
      <c r="AJ708" t="b">
        <v>0</v>
      </c>
      <c r="AK708" t="b">
        <v>1</v>
      </c>
      <c r="AL708" s="6">
        <v>64</v>
      </c>
      <c r="AM708" s="3">
        <v>46280.3125</v>
      </c>
      <c r="AN708">
        <v>1</v>
      </c>
      <c r="AO708" s="3"/>
      <c r="AT708" t="b">
        <v>0</v>
      </c>
      <c r="AU708" t="s">
        <v>74</v>
      </c>
      <c r="AV708" t="b">
        <v>1</v>
      </c>
      <c r="AW708" t="b">
        <v>0</v>
      </c>
      <c r="AX708" s="5">
        <v>0</v>
      </c>
      <c r="AY708" s="3"/>
      <c r="AZ708" t="s">
        <v>67</v>
      </c>
      <c r="BA708" t="s">
        <v>67</v>
      </c>
      <c r="BB708" t="s">
        <v>317</v>
      </c>
    </row>
    <row r="709" spans="1:54" x14ac:dyDescent="0.3">
      <c r="A709">
        <v>1</v>
      </c>
      <c r="B709">
        <v>15</v>
      </c>
      <c r="C709" t="s">
        <v>54</v>
      </c>
      <c r="D709" s="3">
        <v>46280.486238425918</v>
      </c>
      <c r="E709" s="8">
        <v>46280</v>
      </c>
      <c r="F709" t="s">
        <v>2199</v>
      </c>
      <c r="G709" t="s">
        <v>56</v>
      </c>
      <c r="H709" t="s">
        <v>2200</v>
      </c>
      <c r="I709" t="s">
        <v>2201</v>
      </c>
      <c r="J709" t="s">
        <v>59</v>
      </c>
      <c r="L709" t="s">
        <v>224</v>
      </c>
      <c r="M709" t="s">
        <v>63</v>
      </c>
      <c r="N709" t="s">
        <v>63</v>
      </c>
      <c r="O709" t="s">
        <v>2206</v>
      </c>
      <c r="P709" t="s">
        <v>2207</v>
      </c>
      <c r="Q709" s="5">
        <v>1</v>
      </c>
      <c r="R709" s="6">
        <v>84.18</v>
      </c>
      <c r="S709" s="6">
        <v>84.18</v>
      </c>
      <c r="T709" s="6">
        <v>24.8</v>
      </c>
      <c r="U709" s="3">
        <v>46280.3125</v>
      </c>
      <c r="W709" t="s">
        <v>2202</v>
      </c>
      <c r="X709" t="s">
        <v>67</v>
      </c>
      <c r="Y709" t="s">
        <v>68</v>
      </c>
      <c r="Z709" t="s">
        <v>69</v>
      </c>
      <c r="AA709" t="s">
        <v>69</v>
      </c>
      <c r="AB709" t="s">
        <v>70</v>
      </c>
      <c r="AC709" t="s">
        <v>70</v>
      </c>
      <c r="AD709" t="s">
        <v>71</v>
      </c>
      <c r="AE709" t="s">
        <v>185</v>
      </c>
      <c r="AF709" t="s">
        <v>67</v>
      </c>
      <c r="AG709" t="s">
        <v>2208</v>
      </c>
      <c r="AH709" t="b">
        <v>0</v>
      </c>
      <c r="AI709" t="b">
        <v>0</v>
      </c>
      <c r="AJ709" t="b">
        <v>0</v>
      </c>
      <c r="AK709" t="b">
        <v>1</v>
      </c>
      <c r="AL709" s="6">
        <v>24.8</v>
      </c>
      <c r="AM709" s="3">
        <v>46280.3125</v>
      </c>
      <c r="AN709">
        <v>1</v>
      </c>
      <c r="AO709" s="3"/>
      <c r="AT709" t="b">
        <v>0</v>
      </c>
      <c r="AU709" t="s">
        <v>74</v>
      </c>
      <c r="AV709" t="b">
        <v>1</v>
      </c>
      <c r="AW709" t="b">
        <v>0</v>
      </c>
      <c r="AX709" s="5">
        <v>0</v>
      </c>
      <c r="AY709" s="3"/>
      <c r="AZ709" t="s">
        <v>67</v>
      </c>
      <c r="BA709" t="s">
        <v>67</v>
      </c>
      <c r="BB709" t="s">
        <v>317</v>
      </c>
    </row>
    <row r="710" spans="1:54" x14ac:dyDescent="0.3">
      <c r="A710">
        <v>1</v>
      </c>
      <c r="B710">
        <v>15</v>
      </c>
      <c r="C710" t="s">
        <v>54</v>
      </c>
      <c r="D710" s="3">
        <v>46280.493761574071</v>
      </c>
      <c r="E710" s="8">
        <v>46280</v>
      </c>
      <c r="F710" t="s">
        <v>2209</v>
      </c>
      <c r="G710" t="s">
        <v>56</v>
      </c>
      <c r="H710" t="s">
        <v>1183</v>
      </c>
      <c r="I710" t="s">
        <v>1184</v>
      </c>
      <c r="J710" t="s">
        <v>59</v>
      </c>
      <c r="K710" t="s">
        <v>1185</v>
      </c>
      <c r="L710" t="s">
        <v>106</v>
      </c>
      <c r="M710" t="s">
        <v>62</v>
      </c>
      <c r="O710" t="s">
        <v>121</v>
      </c>
      <c r="P710" t="s">
        <v>122</v>
      </c>
      <c r="Q710" s="5">
        <v>2</v>
      </c>
      <c r="R710" s="6">
        <v>320</v>
      </c>
      <c r="S710" s="6">
        <v>640</v>
      </c>
      <c r="T710" s="6">
        <v>400</v>
      </c>
      <c r="U710" s="3">
        <v>46316.25</v>
      </c>
      <c r="W710" t="s">
        <v>1186</v>
      </c>
      <c r="X710" t="s">
        <v>70</v>
      </c>
      <c r="Y710" t="s">
        <v>23</v>
      </c>
      <c r="Z710" t="s">
        <v>69</v>
      </c>
      <c r="AA710" t="s">
        <v>69</v>
      </c>
      <c r="AB710" t="s">
        <v>70</v>
      </c>
      <c r="AC710" t="s">
        <v>67</v>
      </c>
      <c r="AD710" t="s">
        <v>71</v>
      </c>
      <c r="AF710" t="s">
        <v>67</v>
      </c>
      <c r="AH710" t="b">
        <v>0</v>
      </c>
      <c r="AI710" t="b">
        <v>0</v>
      </c>
      <c r="AJ710" t="b">
        <v>0</v>
      </c>
      <c r="AK710" t="b">
        <v>0</v>
      </c>
      <c r="AL710" s="6">
        <v>200</v>
      </c>
      <c r="AM710" s="3">
        <v>46280.333333333343</v>
      </c>
      <c r="AN710">
        <v>1</v>
      </c>
      <c r="AO710" s="3"/>
      <c r="AT710" t="b">
        <v>0</v>
      </c>
      <c r="AU710" t="s">
        <v>74</v>
      </c>
      <c r="AV710" t="b">
        <v>1</v>
      </c>
      <c r="AW710" t="b">
        <v>0</v>
      </c>
      <c r="AX710" s="5">
        <v>0</v>
      </c>
      <c r="AY710" s="3"/>
      <c r="AZ710" t="s">
        <v>67</v>
      </c>
      <c r="BA710" t="s">
        <v>67</v>
      </c>
      <c r="BB710" t="s">
        <v>317</v>
      </c>
    </row>
    <row r="711" spans="1:54" x14ac:dyDescent="0.3">
      <c r="A711">
        <v>1</v>
      </c>
      <c r="B711">
        <v>15</v>
      </c>
      <c r="C711" t="s">
        <v>54</v>
      </c>
      <c r="D711" s="3">
        <v>46280.503344907411</v>
      </c>
      <c r="E711" s="8">
        <v>46294</v>
      </c>
      <c r="F711" t="s">
        <v>2210</v>
      </c>
      <c r="G711" t="s">
        <v>56</v>
      </c>
      <c r="H711" t="s">
        <v>2211</v>
      </c>
      <c r="I711" t="s">
        <v>2212</v>
      </c>
      <c r="J711" t="s">
        <v>59</v>
      </c>
      <c r="L711" t="s">
        <v>224</v>
      </c>
      <c r="M711" t="s">
        <v>62</v>
      </c>
      <c r="N711" t="s">
        <v>62</v>
      </c>
      <c r="O711" t="s">
        <v>82</v>
      </c>
      <c r="P711" t="s">
        <v>83</v>
      </c>
      <c r="Q711" s="5">
        <v>1</v>
      </c>
      <c r="R711" s="6">
        <v>140</v>
      </c>
      <c r="S711" s="6">
        <v>140</v>
      </c>
      <c r="T711" s="6">
        <v>93.1</v>
      </c>
      <c r="U711" s="3">
        <v>46301.25</v>
      </c>
      <c r="W711" t="s">
        <v>2213</v>
      </c>
      <c r="X711" t="s">
        <v>70</v>
      </c>
      <c r="Y711" t="s">
        <v>68</v>
      </c>
      <c r="Z711" t="s">
        <v>69</v>
      </c>
      <c r="AA711" t="s">
        <v>69</v>
      </c>
      <c r="AB711" t="s">
        <v>67</v>
      </c>
      <c r="AC711" t="s">
        <v>67</v>
      </c>
      <c r="AD711" t="s">
        <v>71</v>
      </c>
      <c r="AE711" t="s">
        <v>84</v>
      </c>
      <c r="AF711" t="s">
        <v>67</v>
      </c>
      <c r="AG711" t="s">
        <v>82</v>
      </c>
      <c r="AH711" t="b">
        <v>0</v>
      </c>
      <c r="AI711" t="b">
        <v>0</v>
      </c>
      <c r="AJ711" t="b">
        <v>0</v>
      </c>
      <c r="AK711" t="b">
        <v>0</v>
      </c>
      <c r="AL711" s="6">
        <v>93.1</v>
      </c>
      <c r="AM711" s="3">
        <v>46301.25</v>
      </c>
      <c r="AN711">
        <v>1</v>
      </c>
      <c r="AO711" s="3"/>
      <c r="AT711" t="b">
        <v>0</v>
      </c>
      <c r="AU711" t="s">
        <v>74</v>
      </c>
      <c r="AV711" t="b">
        <v>1</v>
      </c>
      <c r="AW711" t="b">
        <v>0</v>
      </c>
      <c r="AX711" s="5">
        <v>0</v>
      </c>
      <c r="AY711" s="3"/>
      <c r="AZ711" t="s">
        <v>67</v>
      </c>
      <c r="BA711" t="s">
        <v>67</v>
      </c>
      <c r="BB711" t="s">
        <v>317</v>
      </c>
    </row>
    <row r="712" spans="1:54" x14ac:dyDescent="0.3">
      <c r="A712">
        <v>1</v>
      </c>
      <c r="B712">
        <v>15</v>
      </c>
      <c r="C712" t="s">
        <v>54</v>
      </c>
      <c r="D712" s="3">
        <v>46280.503344907411</v>
      </c>
      <c r="E712" s="8">
        <v>46294</v>
      </c>
      <c r="F712" t="s">
        <v>2210</v>
      </c>
      <c r="G712" t="s">
        <v>56</v>
      </c>
      <c r="H712" t="s">
        <v>2211</v>
      </c>
      <c r="I712" t="s">
        <v>2212</v>
      </c>
      <c r="J712" t="s">
        <v>59</v>
      </c>
      <c r="L712" t="s">
        <v>224</v>
      </c>
      <c r="M712" t="s">
        <v>62</v>
      </c>
      <c r="N712" t="s">
        <v>62</v>
      </c>
      <c r="O712" t="s">
        <v>2214</v>
      </c>
      <c r="P712" t="s">
        <v>2215</v>
      </c>
      <c r="Q712" s="5">
        <v>1</v>
      </c>
      <c r="R712" s="6">
        <v>990</v>
      </c>
      <c r="S712" s="6">
        <v>990</v>
      </c>
      <c r="T712" s="6">
        <v>600</v>
      </c>
      <c r="U712" s="3">
        <v>46301.25</v>
      </c>
      <c r="W712" t="s">
        <v>2213</v>
      </c>
      <c r="X712" t="s">
        <v>70</v>
      </c>
      <c r="Y712" t="s">
        <v>23</v>
      </c>
      <c r="Z712" t="s">
        <v>69</v>
      </c>
      <c r="AA712" t="s">
        <v>69</v>
      </c>
      <c r="AB712" t="s">
        <v>67</v>
      </c>
      <c r="AC712" t="s">
        <v>67</v>
      </c>
      <c r="AD712" t="s">
        <v>71</v>
      </c>
      <c r="AE712" t="s">
        <v>102</v>
      </c>
      <c r="AF712" t="s">
        <v>67</v>
      </c>
      <c r="AH712" t="b">
        <v>0</v>
      </c>
      <c r="AI712" t="b">
        <v>0</v>
      </c>
      <c r="AJ712" t="b">
        <v>0</v>
      </c>
      <c r="AK712" t="b">
        <v>0</v>
      </c>
      <c r="AL712" s="6">
        <v>600</v>
      </c>
      <c r="AM712" s="3">
        <v>46301.25</v>
      </c>
      <c r="AN712">
        <v>1</v>
      </c>
      <c r="AO712" s="3"/>
      <c r="AT712" t="b">
        <v>0</v>
      </c>
      <c r="AU712" t="s">
        <v>74</v>
      </c>
      <c r="AV712" t="b">
        <v>1</v>
      </c>
      <c r="AW712" t="b">
        <v>0</v>
      </c>
      <c r="AX712" s="5">
        <v>0</v>
      </c>
      <c r="AY712" s="3"/>
      <c r="AZ712" t="s">
        <v>67</v>
      </c>
      <c r="BA712" t="s">
        <v>67</v>
      </c>
      <c r="BB712" t="s">
        <v>317</v>
      </c>
    </row>
    <row r="713" spans="1:54" x14ac:dyDescent="0.3">
      <c r="A713">
        <v>1</v>
      </c>
      <c r="B713">
        <v>15</v>
      </c>
      <c r="C713" t="s">
        <v>54</v>
      </c>
      <c r="D713" s="3">
        <v>46280.503344907411</v>
      </c>
      <c r="E713" s="8">
        <v>46294</v>
      </c>
      <c r="F713" t="s">
        <v>2210</v>
      </c>
      <c r="G713" t="s">
        <v>56</v>
      </c>
      <c r="H713" t="s">
        <v>2211</v>
      </c>
      <c r="I713" t="s">
        <v>2212</v>
      </c>
      <c r="J713" t="s">
        <v>59</v>
      </c>
      <c r="L713" t="s">
        <v>224</v>
      </c>
      <c r="M713" t="s">
        <v>62</v>
      </c>
      <c r="N713" t="s">
        <v>62</v>
      </c>
      <c r="O713" t="s">
        <v>141</v>
      </c>
      <c r="P713" t="s">
        <v>142</v>
      </c>
      <c r="Q713" s="5">
        <v>1</v>
      </c>
      <c r="R713" s="6">
        <v>3200</v>
      </c>
      <c r="S713" s="6">
        <v>3200</v>
      </c>
      <c r="T713" s="6">
        <v>2000</v>
      </c>
      <c r="U713" s="3">
        <v>46301.25</v>
      </c>
      <c r="W713" t="s">
        <v>2213</v>
      </c>
      <c r="X713" t="s">
        <v>70</v>
      </c>
      <c r="Y713" t="s">
        <v>23</v>
      </c>
      <c r="Z713" t="s">
        <v>69</v>
      </c>
      <c r="AA713" t="s">
        <v>69</v>
      </c>
      <c r="AB713" t="s">
        <v>67</v>
      </c>
      <c r="AC713" t="s">
        <v>67</v>
      </c>
      <c r="AD713" t="s">
        <v>71</v>
      </c>
      <c r="AE713" t="s">
        <v>102</v>
      </c>
      <c r="AF713" t="s">
        <v>67</v>
      </c>
      <c r="AH713" t="b">
        <v>0</v>
      </c>
      <c r="AI713" t="b">
        <v>0</v>
      </c>
      <c r="AJ713" t="b">
        <v>0</v>
      </c>
      <c r="AK713" t="b">
        <v>0</v>
      </c>
      <c r="AL713" s="6">
        <v>2000</v>
      </c>
      <c r="AM713" s="3">
        <v>46301.25</v>
      </c>
      <c r="AN713">
        <v>1</v>
      </c>
      <c r="AO713" s="3"/>
      <c r="AT713" t="b">
        <v>0</v>
      </c>
      <c r="AU713" t="s">
        <v>74</v>
      </c>
      <c r="AV713" t="b">
        <v>1</v>
      </c>
      <c r="AW713" t="b">
        <v>0</v>
      </c>
      <c r="AX713" s="5">
        <v>0</v>
      </c>
      <c r="AY713" s="3"/>
      <c r="AZ713" t="s">
        <v>67</v>
      </c>
      <c r="BA713" t="s">
        <v>67</v>
      </c>
      <c r="BB713" t="s">
        <v>317</v>
      </c>
    </row>
    <row r="714" spans="1:54" x14ac:dyDescent="0.3">
      <c r="A714">
        <v>1</v>
      </c>
      <c r="B714">
        <v>15</v>
      </c>
      <c r="C714" t="s">
        <v>54</v>
      </c>
      <c r="D714" s="3">
        <v>46280.503344907411</v>
      </c>
      <c r="E714" s="8">
        <v>46294</v>
      </c>
      <c r="F714" t="s">
        <v>2210</v>
      </c>
      <c r="G714" t="s">
        <v>56</v>
      </c>
      <c r="H714" t="s">
        <v>2211</v>
      </c>
      <c r="I714" t="s">
        <v>2212</v>
      </c>
      <c r="J714" t="s">
        <v>59</v>
      </c>
      <c r="L714" t="s">
        <v>224</v>
      </c>
      <c r="M714" t="s">
        <v>62</v>
      </c>
      <c r="N714" t="s">
        <v>62</v>
      </c>
      <c r="O714" t="s">
        <v>146</v>
      </c>
      <c r="P714" t="s">
        <v>147</v>
      </c>
      <c r="Q714" s="5">
        <v>4</v>
      </c>
      <c r="R714" s="6">
        <v>58</v>
      </c>
      <c r="S714" s="6">
        <v>232</v>
      </c>
      <c r="T714" s="6">
        <v>84</v>
      </c>
      <c r="U714" s="3">
        <v>46301.25</v>
      </c>
      <c r="W714" t="s">
        <v>2213</v>
      </c>
      <c r="X714" t="s">
        <v>70</v>
      </c>
      <c r="Y714" t="s">
        <v>68</v>
      </c>
      <c r="Z714" t="s">
        <v>69</v>
      </c>
      <c r="AA714" t="s">
        <v>69</v>
      </c>
      <c r="AB714" t="s">
        <v>67</v>
      </c>
      <c r="AC714" t="s">
        <v>67</v>
      </c>
      <c r="AD714" t="s">
        <v>71</v>
      </c>
      <c r="AE714" t="s">
        <v>110</v>
      </c>
      <c r="AF714" t="s">
        <v>67</v>
      </c>
      <c r="AG714" t="s">
        <v>148</v>
      </c>
      <c r="AH714" t="b">
        <v>0</v>
      </c>
      <c r="AI714" t="b">
        <v>0</v>
      </c>
      <c r="AJ714" t="b">
        <v>0</v>
      </c>
      <c r="AK714" t="b">
        <v>0</v>
      </c>
      <c r="AL714" s="6">
        <v>21</v>
      </c>
      <c r="AM714" s="3">
        <v>46301.25</v>
      </c>
      <c r="AN714">
        <v>1</v>
      </c>
      <c r="AO714" s="3"/>
      <c r="AT714" t="b">
        <v>0</v>
      </c>
      <c r="AU714" t="s">
        <v>74</v>
      </c>
      <c r="AV714" t="b">
        <v>1</v>
      </c>
      <c r="AW714" t="b">
        <v>0</v>
      </c>
      <c r="AX714" s="5">
        <v>0</v>
      </c>
      <c r="AY714" s="3"/>
      <c r="AZ714" t="s">
        <v>67</v>
      </c>
      <c r="BA714" t="s">
        <v>67</v>
      </c>
      <c r="BB714" t="s">
        <v>317</v>
      </c>
    </row>
    <row r="715" spans="1:54" x14ac:dyDescent="0.3">
      <c r="A715">
        <v>1</v>
      </c>
      <c r="B715">
        <v>15</v>
      </c>
      <c r="C715" t="s">
        <v>54</v>
      </c>
      <c r="D715" s="3">
        <v>46280.503344907411</v>
      </c>
      <c r="E715" s="8">
        <v>46294</v>
      </c>
      <c r="F715" t="s">
        <v>2210</v>
      </c>
      <c r="G715" t="s">
        <v>56</v>
      </c>
      <c r="H715" t="s">
        <v>2211</v>
      </c>
      <c r="I715" t="s">
        <v>2212</v>
      </c>
      <c r="J715" t="s">
        <v>59</v>
      </c>
      <c r="L715" t="s">
        <v>224</v>
      </c>
      <c r="M715" t="s">
        <v>62</v>
      </c>
      <c r="N715" t="s">
        <v>62</v>
      </c>
      <c r="O715" t="s">
        <v>138</v>
      </c>
      <c r="P715" t="s">
        <v>139</v>
      </c>
      <c r="Q715" s="5">
        <v>4</v>
      </c>
      <c r="R715" s="6">
        <v>157</v>
      </c>
      <c r="S715" s="6">
        <v>628</v>
      </c>
      <c r="T715" s="6">
        <v>227.4</v>
      </c>
      <c r="U715" s="3">
        <v>46301.25</v>
      </c>
      <c r="W715" t="s">
        <v>2213</v>
      </c>
      <c r="X715" t="s">
        <v>70</v>
      </c>
      <c r="Y715" t="s">
        <v>68</v>
      </c>
      <c r="Z715" t="s">
        <v>69</v>
      </c>
      <c r="AA715" t="s">
        <v>69</v>
      </c>
      <c r="AB715" t="s">
        <v>67</v>
      </c>
      <c r="AC715" t="s">
        <v>67</v>
      </c>
      <c r="AD715" t="s">
        <v>71</v>
      </c>
      <c r="AE715" t="s">
        <v>110</v>
      </c>
      <c r="AF715" t="s">
        <v>67</v>
      </c>
      <c r="AG715" t="s">
        <v>140</v>
      </c>
      <c r="AH715" t="b">
        <v>0</v>
      </c>
      <c r="AI715" t="b">
        <v>0</v>
      </c>
      <c r="AJ715" t="b">
        <v>0</v>
      </c>
      <c r="AK715" t="b">
        <v>0</v>
      </c>
      <c r="AL715" s="6">
        <v>56.85</v>
      </c>
      <c r="AM715" s="3">
        <v>46301.25</v>
      </c>
      <c r="AN715">
        <v>1</v>
      </c>
      <c r="AO715" s="3"/>
      <c r="AT715" t="b">
        <v>0</v>
      </c>
      <c r="AU715" t="s">
        <v>74</v>
      </c>
      <c r="AV715" t="b">
        <v>1</v>
      </c>
      <c r="AW715" t="b">
        <v>0</v>
      </c>
      <c r="AX715" s="5">
        <v>0</v>
      </c>
      <c r="AY715" s="3"/>
      <c r="AZ715" t="s">
        <v>67</v>
      </c>
      <c r="BA715" t="s">
        <v>67</v>
      </c>
      <c r="BB715" t="s">
        <v>317</v>
      </c>
    </row>
    <row r="716" spans="1:54" x14ac:dyDescent="0.3">
      <c r="A716">
        <v>1</v>
      </c>
      <c r="B716">
        <v>15</v>
      </c>
      <c r="C716" t="s">
        <v>54</v>
      </c>
      <c r="D716" s="3">
        <v>46280.503344907411</v>
      </c>
      <c r="E716" s="8">
        <v>46294</v>
      </c>
      <c r="F716" t="s">
        <v>2210</v>
      </c>
      <c r="G716" t="s">
        <v>56</v>
      </c>
      <c r="H716" t="s">
        <v>2211</v>
      </c>
      <c r="I716" t="s">
        <v>2212</v>
      </c>
      <c r="J716" t="s">
        <v>59</v>
      </c>
      <c r="L716" t="s">
        <v>224</v>
      </c>
      <c r="M716" t="s">
        <v>62</v>
      </c>
      <c r="N716" t="s">
        <v>62</v>
      </c>
      <c r="O716" t="s">
        <v>2216</v>
      </c>
      <c r="P716" t="s">
        <v>2217</v>
      </c>
      <c r="Q716" s="5">
        <v>4</v>
      </c>
      <c r="R716" s="6">
        <v>520</v>
      </c>
      <c r="S716" s="6">
        <v>2080</v>
      </c>
      <c r="T716" s="6">
        <v>406.28</v>
      </c>
      <c r="U716" s="3">
        <v>46301.25</v>
      </c>
      <c r="W716" t="s">
        <v>2213</v>
      </c>
      <c r="X716" t="s">
        <v>70</v>
      </c>
      <c r="Y716" t="s">
        <v>68</v>
      </c>
      <c r="Z716" t="s">
        <v>69</v>
      </c>
      <c r="AA716" t="s">
        <v>69</v>
      </c>
      <c r="AB716" t="s">
        <v>67</v>
      </c>
      <c r="AC716" t="s">
        <v>67</v>
      </c>
      <c r="AD716" t="s">
        <v>71</v>
      </c>
      <c r="AE716" t="s">
        <v>110</v>
      </c>
      <c r="AF716" t="s">
        <v>67</v>
      </c>
      <c r="AG716" t="s">
        <v>2218</v>
      </c>
      <c r="AH716" t="b">
        <v>0</v>
      </c>
      <c r="AI716" t="b">
        <v>0</v>
      </c>
      <c r="AJ716" t="b">
        <v>0</v>
      </c>
      <c r="AK716" t="b">
        <v>0</v>
      </c>
      <c r="AL716" s="6">
        <v>101.57</v>
      </c>
      <c r="AM716" s="3">
        <v>46301.25</v>
      </c>
      <c r="AN716">
        <v>1</v>
      </c>
      <c r="AO716" s="3"/>
      <c r="AT716" t="b">
        <v>0</v>
      </c>
      <c r="AU716" t="s">
        <v>74</v>
      </c>
      <c r="AV716" t="b">
        <v>1</v>
      </c>
      <c r="AW716" t="b">
        <v>0</v>
      </c>
      <c r="AX716" s="5">
        <v>0</v>
      </c>
      <c r="AY716" s="3"/>
      <c r="AZ716" t="s">
        <v>67</v>
      </c>
      <c r="BA716" t="s">
        <v>67</v>
      </c>
      <c r="BB716" t="s">
        <v>317</v>
      </c>
    </row>
    <row r="717" spans="1:54" x14ac:dyDescent="0.3">
      <c r="A717">
        <v>1</v>
      </c>
      <c r="B717">
        <v>15</v>
      </c>
      <c r="C717" t="s">
        <v>54</v>
      </c>
      <c r="D717" s="3">
        <v>46280.503344907411</v>
      </c>
      <c r="E717" s="8">
        <v>46294</v>
      </c>
      <c r="F717" t="s">
        <v>2210</v>
      </c>
      <c r="G717" t="s">
        <v>56</v>
      </c>
      <c r="H717" t="s">
        <v>2211</v>
      </c>
      <c r="I717" t="s">
        <v>2212</v>
      </c>
      <c r="J717" t="s">
        <v>59</v>
      </c>
      <c r="L717" t="s">
        <v>224</v>
      </c>
      <c r="M717" t="s">
        <v>62</v>
      </c>
      <c r="N717" t="s">
        <v>62</v>
      </c>
      <c r="O717" t="s">
        <v>2219</v>
      </c>
      <c r="P717" t="s">
        <v>2220</v>
      </c>
      <c r="Q717" s="5">
        <v>4</v>
      </c>
      <c r="R717" s="6">
        <v>131</v>
      </c>
      <c r="S717" s="6">
        <v>524</v>
      </c>
      <c r="T717" s="6">
        <v>189.6</v>
      </c>
      <c r="U717" s="3">
        <v>46301.25</v>
      </c>
      <c r="W717" t="s">
        <v>2213</v>
      </c>
      <c r="X717" t="s">
        <v>70</v>
      </c>
      <c r="Y717" t="s">
        <v>68</v>
      </c>
      <c r="Z717" t="s">
        <v>69</v>
      </c>
      <c r="AA717" t="s">
        <v>69</v>
      </c>
      <c r="AB717" t="s">
        <v>67</v>
      </c>
      <c r="AC717" t="s">
        <v>67</v>
      </c>
      <c r="AD717" t="s">
        <v>71</v>
      </c>
      <c r="AE717" t="s">
        <v>110</v>
      </c>
      <c r="AF717" t="s">
        <v>67</v>
      </c>
      <c r="AG717" t="s">
        <v>2221</v>
      </c>
      <c r="AH717" t="b">
        <v>0</v>
      </c>
      <c r="AI717" t="b">
        <v>0</v>
      </c>
      <c r="AJ717" t="b">
        <v>0</v>
      </c>
      <c r="AK717" t="b">
        <v>0</v>
      </c>
      <c r="AL717" s="6">
        <v>47.4</v>
      </c>
      <c r="AM717" s="3">
        <v>46301.25</v>
      </c>
      <c r="AN717">
        <v>1</v>
      </c>
      <c r="AO717" s="3"/>
      <c r="AT717" t="b">
        <v>0</v>
      </c>
      <c r="AU717" t="s">
        <v>74</v>
      </c>
      <c r="AV717" t="b">
        <v>1</v>
      </c>
      <c r="AW717" t="b">
        <v>0</v>
      </c>
      <c r="AX717" s="5">
        <v>0</v>
      </c>
      <c r="AY717" s="3"/>
      <c r="AZ717" t="s">
        <v>67</v>
      </c>
      <c r="BA717" t="s">
        <v>67</v>
      </c>
      <c r="BB717" t="s">
        <v>317</v>
      </c>
    </row>
    <row r="718" spans="1:54" x14ac:dyDescent="0.3">
      <c r="A718">
        <v>1</v>
      </c>
      <c r="B718">
        <v>15</v>
      </c>
      <c r="C718" t="s">
        <v>54</v>
      </c>
      <c r="D718" s="3">
        <v>46280.503344907411</v>
      </c>
      <c r="E718" s="8">
        <v>46294</v>
      </c>
      <c r="F718" t="s">
        <v>2210</v>
      </c>
      <c r="G718" t="s">
        <v>56</v>
      </c>
      <c r="H718" t="s">
        <v>2211</v>
      </c>
      <c r="I718" t="s">
        <v>2212</v>
      </c>
      <c r="J718" t="s">
        <v>59</v>
      </c>
      <c r="L718" t="s">
        <v>224</v>
      </c>
      <c r="M718" t="s">
        <v>62</v>
      </c>
      <c r="N718" t="s">
        <v>62</v>
      </c>
      <c r="O718" t="s">
        <v>107</v>
      </c>
      <c r="P718" t="s">
        <v>108</v>
      </c>
      <c r="Q718" s="5">
        <v>4</v>
      </c>
      <c r="R718" s="6">
        <v>61</v>
      </c>
      <c r="S718" s="6">
        <v>244</v>
      </c>
      <c r="T718" s="6">
        <v>87.6</v>
      </c>
      <c r="U718" s="3">
        <v>46301.25</v>
      </c>
      <c r="W718" t="s">
        <v>2213</v>
      </c>
      <c r="X718" t="s">
        <v>70</v>
      </c>
      <c r="Y718" t="s">
        <v>68</v>
      </c>
      <c r="Z718" t="s">
        <v>69</v>
      </c>
      <c r="AA718" t="s">
        <v>69</v>
      </c>
      <c r="AB718" t="s">
        <v>67</v>
      </c>
      <c r="AC718" t="s">
        <v>67</v>
      </c>
      <c r="AD718" t="s">
        <v>71</v>
      </c>
      <c r="AE718" t="s">
        <v>110</v>
      </c>
      <c r="AF718" t="s">
        <v>67</v>
      </c>
      <c r="AG718" t="s">
        <v>111</v>
      </c>
      <c r="AH718" t="b">
        <v>0</v>
      </c>
      <c r="AI718" t="b">
        <v>0</v>
      </c>
      <c r="AJ718" t="b">
        <v>0</v>
      </c>
      <c r="AK718" t="b">
        <v>0</v>
      </c>
      <c r="AL718" s="6">
        <v>21.9</v>
      </c>
      <c r="AM718" s="3">
        <v>46301.25</v>
      </c>
      <c r="AN718">
        <v>1</v>
      </c>
      <c r="AO718" s="3"/>
      <c r="AT718" t="b">
        <v>0</v>
      </c>
      <c r="AU718" t="s">
        <v>74</v>
      </c>
      <c r="AV718" t="b">
        <v>1</v>
      </c>
      <c r="AW718" t="b">
        <v>0</v>
      </c>
      <c r="AX718" s="5">
        <v>0</v>
      </c>
      <c r="AY718" s="3"/>
      <c r="AZ718" t="s">
        <v>67</v>
      </c>
      <c r="BA718" t="s">
        <v>67</v>
      </c>
      <c r="BB718" t="s">
        <v>317</v>
      </c>
    </row>
    <row r="719" spans="1:54" x14ac:dyDescent="0.3">
      <c r="A719">
        <v>1</v>
      </c>
      <c r="B719">
        <v>15</v>
      </c>
      <c r="C719" t="s">
        <v>54</v>
      </c>
      <c r="D719" s="3">
        <v>46280.621932870366</v>
      </c>
      <c r="E719" s="8">
        <v>46280</v>
      </c>
      <c r="F719" t="s">
        <v>2222</v>
      </c>
      <c r="G719" t="s">
        <v>56</v>
      </c>
      <c r="H719" t="s">
        <v>2223</v>
      </c>
      <c r="I719" t="s">
        <v>2224</v>
      </c>
      <c r="J719" t="s">
        <v>59</v>
      </c>
      <c r="K719" t="s">
        <v>2225</v>
      </c>
      <c r="L719" t="s">
        <v>61</v>
      </c>
      <c r="M719" t="s">
        <v>62</v>
      </c>
      <c r="N719" t="s">
        <v>62</v>
      </c>
      <c r="O719" t="s">
        <v>82</v>
      </c>
      <c r="P719" t="s">
        <v>83</v>
      </c>
      <c r="Q719" s="5">
        <v>1</v>
      </c>
      <c r="R719" s="6">
        <v>140</v>
      </c>
      <c r="S719" s="6">
        <v>140</v>
      </c>
      <c r="T719" s="6">
        <v>93.1</v>
      </c>
      <c r="U719" s="3">
        <v>46300.458333333343</v>
      </c>
      <c r="W719" t="s">
        <v>2226</v>
      </c>
      <c r="X719" t="s">
        <v>70</v>
      </c>
      <c r="Y719" t="s">
        <v>68</v>
      </c>
      <c r="Z719" t="s">
        <v>69</v>
      </c>
      <c r="AA719" t="s">
        <v>69</v>
      </c>
      <c r="AB719" t="s">
        <v>67</v>
      </c>
      <c r="AC719" t="s">
        <v>67</v>
      </c>
      <c r="AD719" t="s">
        <v>71</v>
      </c>
      <c r="AE719" t="s">
        <v>84</v>
      </c>
      <c r="AF719" t="s">
        <v>67</v>
      </c>
      <c r="AG719" t="s">
        <v>82</v>
      </c>
      <c r="AH719" t="b">
        <v>0</v>
      </c>
      <c r="AI719" t="b">
        <v>0</v>
      </c>
      <c r="AJ719" t="b">
        <v>0</v>
      </c>
      <c r="AK719" t="b">
        <v>1</v>
      </c>
      <c r="AL719" s="6">
        <v>93.1</v>
      </c>
      <c r="AM719" s="3">
        <v>46300.458333333343</v>
      </c>
      <c r="AN719">
        <v>1</v>
      </c>
      <c r="AO719" s="3"/>
      <c r="AT719" t="b">
        <v>0</v>
      </c>
      <c r="AU719" t="s">
        <v>74</v>
      </c>
      <c r="AV719" t="b">
        <v>1</v>
      </c>
      <c r="AW719" t="b">
        <v>0</v>
      </c>
      <c r="AX719" s="5">
        <v>0</v>
      </c>
      <c r="AY719" s="3"/>
      <c r="AZ719" t="s">
        <v>67</v>
      </c>
      <c r="BA719" t="s">
        <v>67</v>
      </c>
      <c r="BB719" t="s">
        <v>317</v>
      </c>
    </row>
    <row r="720" spans="1:54" x14ac:dyDescent="0.3">
      <c r="A720">
        <v>1</v>
      </c>
      <c r="B720">
        <v>15</v>
      </c>
      <c r="C720" t="s">
        <v>54</v>
      </c>
      <c r="D720" s="3">
        <v>46280.621932870366</v>
      </c>
      <c r="E720" s="8">
        <v>46280</v>
      </c>
      <c r="F720" t="s">
        <v>2222</v>
      </c>
      <c r="G720" t="s">
        <v>56</v>
      </c>
      <c r="H720" t="s">
        <v>2223</v>
      </c>
      <c r="I720" t="s">
        <v>2224</v>
      </c>
      <c r="J720" t="s">
        <v>59</v>
      </c>
      <c r="K720" t="s">
        <v>2225</v>
      </c>
      <c r="L720" t="s">
        <v>61</v>
      </c>
      <c r="M720" t="s">
        <v>62</v>
      </c>
      <c r="N720" t="s">
        <v>62</v>
      </c>
      <c r="O720" t="s">
        <v>210</v>
      </c>
      <c r="P720" t="s">
        <v>211</v>
      </c>
      <c r="Q720" s="5">
        <v>1</v>
      </c>
      <c r="R720" s="6">
        <v>350</v>
      </c>
      <c r="S720" s="6">
        <v>350</v>
      </c>
      <c r="T720" s="6">
        <v>250</v>
      </c>
      <c r="U720" s="3">
        <v>46300.458333333343</v>
      </c>
      <c r="W720" t="s">
        <v>2226</v>
      </c>
      <c r="X720" t="s">
        <v>70</v>
      </c>
      <c r="Y720" t="s">
        <v>23</v>
      </c>
      <c r="Z720" t="s">
        <v>69</v>
      </c>
      <c r="AA720" t="s">
        <v>69</v>
      </c>
      <c r="AB720" t="s">
        <v>67</v>
      </c>
      <c r="AC720" t="s">
        <v>67</v>
      </c>
      <c r="AD720" t="s">
        <v>71</v>
      </c>
      <c r="AE720" t="s">
        <v>212</v>
      </c>
      <c r="AF720" t="s">
        <v>67</v>
      </c>
      <c r="AH720" t="b">
        <v>0</v>
      </c>
      <c r="AI720" t="b">
        <v>0</v>
      </c>
      <c r="AJ720" t="b">
        <v>0</v>
      </c>
      <c r="AK720" t="b">
        <v>1</v>
      </c>
      <c r="AL720" s="6">
        <v>250</v>
      </c>
      <c r="AM720" s="3">
        <v>46300.458333333343</v>
      </c>
      <c r="AN720">
        <v>1</v>
      </c>
      <c r="AO720" s="3"/>
      <c r="AT720" t="b">
        <v>0</v>
      </c>
      <c r="AU720" t="s">
        <v>74</v>
      </c>
      <c r="AV720" t="b">
        <v>1</v>
      </c>
      <c r="AW720" t="b">
        <v>0</v>
      </c>
      <c r="AX720" s="5">
        <v>0</v>
      </c>
      <c r="AY720" s="3"/>
      <c r="AZ720" t="s">
        <v>67</v>
      </c>
      <c r="BA720" t="s">
        <v>67</v>
      </c>
      <c r="BB720" t="s">
        <v>317</v>
      </c>
    </row>
    <row r="721" spans="1:54" x14ac:dyDescent="0.3">
      <c r="A721">
        <v>1</v>
      </c>
      <c r="B721">
        <v>15</v>
      </c>
      <c r="C721" t="s">
        <v>54</v>
      </c>
      <c r="D721" s="3">
        <v>46280.621932870366</v>
      </c>
      <c r="E721" s="8">
        <v>46280</v>
      </c>
      <c r="F721" t="s">
        <v>2222</v>
      </c>
      <c r="G721" t="s">
        <v>56</v>
      </c>
      <c r="H721" t="s">
        <v>2223</v>
      </c>
      <c r="I721" t="s">
        <v>2224</v>
      </c>
      <c r="J721" t="s">
        <v>59</v>
      </c>
      <c r="K721" t="s">
        <v>2225</v>
      </c>
      <c r="L721" t="s">
        <v>61</v>
      </c>
      <c r="M721" t="s">
        <v>62</v>
      </c>
      <c r="N721" t="s">
        <v>62</v>
      </c>
      <c r="O721" t="s">
        <v>239</v>
      </c>
      <c r="P721" t="s">
        <v>240</v>
      </c>
      <c r="Q721" s="5">
        <v>1</v>
      </c>
      <c r="R721" s="6">
        <v>660</v>
      </c>
      <c r="S721" s="6">
        <v>660</v>
      </c>
      <c r="T721" s="6">
        <v>440</v>
      </c>
      <c r="U721" s="3">
        <v>46300.458333333343</v>
      </c>
      <c r="W721" t="s">
        <v>2226</v>
      </c>
      <c r="X721" t="s">
        <v>70</v>
      </c>
      <c r="Y721" t="s">
        <v>68</v>
      </c>
      <c r="Z721" t="s">
        <v>69</v>
      </c>
      <c r="AA721" t="s">
        <v>69</v>
      </c>
      <c r="AB721" t="s">
        <v>67</v>
      </c>
      <c r="AC721" t="s">
        <v>67</v>
      </c>
      <c r="AD721" t="s">
        <v>71</v>
      </c>
      <c r="AE721" t="s">
        <v>242</v>
      </c>
      <c r="AF721" t="s">
        <v>67</v>
      </c>
      <c r="AG721" t="s">
        <v>243</v>
      </c>
      <c r="AH721" t="b">
        <v>0</v>
      </c>
      <c r="AI721" t="b">
        <v>0</v>
      </c>
      <c r="AJ721" t="b">
        <v>0</v>
      </c>
      <c r="AK721" t="b">
        <v>1</v>
      </c>
      <c r="AL721" s="6">
        <v>440</v>
      </c>
      <c r="AM721" s="3">
        <v>46300.458333333343</v>
      </c>
      <c r="AN721">
        <v>1</v>
      </c>
      <c r="AO721" s="3"/>
      <c r="AT721" t="b">
        <v>0</v>
      </c>
      <c r="AU721" t="s">
        <v>74</v>
      </c>
      <c r="AV721" t="b">
        <v>1</v>
      </c>
      <c r="AW721" t="b">
        <v>0</v>
      </c>
      <c r="AX721" s="5">
        <v>0</v>
      </c>
      <c r="AY721" s="3"/>
      <c r="AZ721" t="s">
        <v>67</v>
      </c>
      <c r="BA721" t="s">
        <v>67</v>
      </c>
      <c r="BB721" t="s">
        <v>317</v>
      </c>
    </row>
    <row r="722" spans="1:54" x14ac:dyDescent="0.3">
      <c r="A722">
        <v>1</v>
      </c>
      <c r="B722">
        <v>15</v>
      </c>
      <c r="C722" t="s">
        <v>54</v>
      </c>
      <c r="D722" s="3">
        <v>46280.621932870366</v>
      </c>
      <c r="E722" s="8">
        <v>46280</v>
      </c>
      <c r="F722" t="s">
        <v>2222</v>
      </c>
      <c r="G722" t="s">
        <v>56</v>
      </c>
      <c r="H722" t="s">
        <v>2223</v>
      </c>
      <c r="I722" t="s">
        <v>2224</v>
      </c>
      <c r="J722" t="s">
        <v>59</v>
      </c>
      <c r="K722" t="s">
        <v>2225</v>
      </c>
      <c r="L722" t="s">
        <v>61</v>
      </c>
      <c r="M722" t="s">
        <v>62</v>
      </c>
      <c r="N722" t="s">
        <v>62</v>
      </c>
      <c r="O722" t="s">
        <v>2227</v>
      </c>
      <c r="P722" t="s">
        <v>2228</v>
      </c>
      <c r="Q722" s="5">
        <v>1</v>
      </c>
      <c r="R722" s="6">
        <v>456</v>
      </c>
      <c r="S722" s="6">
        <v>456</v>
      </c>
      <c r="T722" s="6">
        <v>303.55</v>
      </c>
      <c r="U722" s="3">
        <v>46300.458333333343</v>
      </c>
      <c r="W722" t="s">
        <v>2226</v>
      </c>
      <c r="X722" t="s">
        <v>70</v>
      </c>
      <c r="Y722" t="s">
        <v>68</v>
      </c>
      <c r="Z722" t="s">
        <v>69</v>
      </c>
      <c r="AA722" t="s">
        <v>69</v>
      </c>
      <c r="AB722" t="s">
        <v>67</v>
      </c>
      <c r="AC722" t="s">
        <v>67</v>
      </c>
      <c r="AD722" t="s">
        <v>71</v>
      </c>
      <c r="AE722" t="s">
        <v>1007</v>
      </c>
      <c r="AF722" t="s">
        <v>67</v>
      </c>
      <c r="AG722" t="s">
        <v>2229</v>
      </c>
      <c r="AH722" t="b">
        <v>0</v>
      </c>
      <c r="AI722" t="b">
        <v>0</v>
      </c>
      <c r="AJ722" t="b">
        <v>0</v>
      </c>
      <c r="AK722" t="b">
        <v>1</v>
      </c>
      <c r="AL722" s="6">
        <v>303.55</v>
      </c>
      <c r="AM722" s="3">
        <v>46300.458333333343</v>
      </c>
      <c r="AN722">
        <v>1</v>
      </c>
      <c r="AO722" s="3"/>
      <c r="AT722" t="b">
        <v>0</v>
      </c>
      <c r="AU722" t="s">
        <v>74</v>
      </c>
      <c r="AV722" t="b">
        <v>1</v>
      </c>
      <c r="AW722" t="b">
        <v>0</v>
      </c>
      <c r="AX722" s="5">
        <v>0</v>
      </c>
      <c r="AY722" s="3"/>
      <c r="AZ722" t="s">
        <v>67</v>
      </c>
      <c r="BA722" t="s">
        <v>67</v>
      </c>
      <c r="BB722" t="s">
        <v>317</v>
      </c>
    </row>
    <row r="723" spans="1:54" x14ac:dyDescent="0.3">
      <c r="A723">
        <v>1</v>
      </c>
      <c r="B723">
        <v>15</v>
      </c>
      <c r="C723" t="s">
        <v>54</v>
      </c>
      <c r="D723" s="3">
        <v>46280.648784722223</v>
      </c>
      <c r="E723" s="8">
        <v>46280</v>
      </c>
      <c r="F723" t="s">
        <v>2230</v>
      </c>
      <c r="G723" t="s">
        <v>56</v>
      </c>
      <c r="H723" t="s">
        <v>2231</v>
      </c>
      <c r="I723" t="s">
        <v>2232</v>
      </c>
      <c r="J723" t="s">
        <v>1044</v>
      </c>
      <c r="K723" t="s">
        <v>1169</v>
      </c>
      <c r="L723" t="s">
        <v>1045</v>
      </c>
      <c r="M723" t="s">
        <v>1046</v>
      </c>
      <c r="N723" t="s">
        <v>1046</v>
      </c>
      <c r="O723" t="s">
        <v>1047</v>
      </c>
      <c r="P723" t="s">
        <v>1048</v>
      </c>
      <c r="Q723" s="5">
        <v>1</v>
      </c>
      <c r="R723" s="6">
        <v>400</v>
      </c>
      <c r="S723" s="6">
        <v>400</v>
      </c>
      <c r="T723" s="6">
        <v>250</v>
      </c>
      <c r="U723" s="3">
        <v>46343.4375</v>
      </c>
      <c r="W723" t="s">
        <v>2233</v>
      </c>
      <c r="X723" t="s">
        <v>70</v>
      </c>
      <c r="Y723" t="s">
        <v>23</v>
      </c>
      <c r="Z723" t="s">
        <v>69</v>
      </c>
      <c r="AA723" t="s">
        <v>69</v>
      </c>
      <c r="AB723" t="s">
        <v>67</v>
      </c>
      <c r="AC723" t="s">
        <v>67</v>
      </c>
      <c r="AD723" t="s">
        <v>1049</v>
      </c>
      <c r="AE723" t="s">
        <v>102</v>
      </c>
      <c r="AF723" t="s">
        <v>67</v>
      </c>
      <c r="AH723" t="b">
        <v>0</v>
      </c>
      <c r="AI723" t="b">
        <v>0</v>
      </c>
      <c r="AJ723" t="b">
        <v>0</v>
      </c>
      <c r="AK723" t="b">
        <v>0</v>
      </c>
      <c r="AL723" s="6">
        <v>250</v>
      </c>
      <c r="AM723" s="3">
        <v>46343.4375</v>
      </c>
      <c r="AN723">
        <v>1</v>
      </c>
      <c r="AO723" s="3"/>
      <c r="AP723" t="s">
        <v>112</v>
      </c>
      <c r="AQ723" t="s">
        <v>112</v>
      </c>
      <c r="AR723" t="s">
        <v>203</v>
      </c>
      <c r="AS723">
        <v>1</v>
      </c>
      <c r="AT723" t="b">
        <v>0</v>
      </c>
      <c r="AU723" t="s">
        <v>114</v>
      </c>
      <c r="AV723" t="b">
        <v>1</v>
      </c>
      <c r="AW723" t="b">
        <v>0</v>
      </c>
      <c r="AX723" s="5">
        <v>0</v>
      </c>
      <c r="AY723" s="3"/>
      <c r="AZ723" t="s">
        <v>67</v>
      </c>
      <c r="BA723" t="s">
        <v>67</v>
      </c>
      <c r="BB723" t="s">
        <v>997</v>
      </c>
    </row>
    <row r="724" spans="1:54" x14ac:dyDescent="0.3">
      <c r="A724">
        <v>1</v>
      </c>
      <c r="B724">
        <v>15</v>
      </c>
      <c r="C724" t="s">
        <v>54</v>
      </c>
      <c r="D724" s="3">
        <v>46281.663761574076</v>
      </c>
      <c r="E724" s="8">
        <v>46289</v>
      </c>
      <c r="F724" t="s">
        <v>2234</v>
      </c>
      <c r="G724" t="s">
        <v>56</v>
      </c>
      <c r="H724" t="s">
        <v>1634</v>
      </c>
      <c r="I724" t="s">
        <v>1635</v>
      </c>
      <c r="J724" t="s">
        <v>59</v>
      </c>
      <c r="L724" t="s">
        <v>224</v>
      </c>
      <c r="M724" t="s">
        <v>63</v>
      </c>
      <c r="N724" t="s">
        <v>63</v>
      </c>
      <c r="O724" t="s">
        <v>82</v>
      </c>
      <c r="P724" t="s">
        <v>83</v>
      </c>
      <c r="Q724" s="5">
        <v>2</v>
      </c>
      <c r="R724" s="6">
        <v>140</v>
      </c>
      <c r="S724" s="6">
        <v>280</v>
      </c>
      <c r="T724" s="6">
        <v>186.2</v>
      </c>
      <c r="U724" s="3">
        <v>46301.458333333343</v>
      </c>
      <c r="W724" t="s">
        <v>1636</v>
      </c>
      <c r="X724" t="s">
        <v>70</v>
      </c>
      <c r="Y724" t="s">
        <v>68</v>
      </c>
      <c r="Z724" t="s">
        <v>69</v>
      </c>
      <c r="AA724" t="s">
        <v>69</v>
      </c>
      <c r="AB724" t="s">
        <v>67</v>
      </c>
      <c r="AC724" t="s">
        <v>70</v>
      </c>
      <c r="AD724" t="s">
        <v>71</v>
      </c>
      <c r="AE724" t="s">
        <v>84</v>
      </c>
      <c r="AF724" t="s">
        <v>67</v>
      </c>
      <c r="AG724" t="s">
        <v>82</v>
      </c>
      <c r="AH724" t="b">
        <v>0</v>
      </c>
      <c r="AI724" t="b">
        <v>0</v>
      </c>
      <c r="AJ724" t="b">
        <v>0</v>
      </c>
      <c r="AK724" t="b">
        <v>0</v>
      </c>
      <c r="AL724" s="6">
        <v>93.1</v>
      </c>
      <c r="AM724" s="3">
        <v>46301.458333333343</v>
      </c>
      <c r="AN724">
        <v>1</v>
      </c>
      <c r="AO724" s="3"/>
      <c r="AT724" t="b">
        <v>0</v>
      </c>
      <c r="AU724" t="s">
        <v>74</v>
      </c>
      <c r="AV724" t="b">
        <v>1</v>
      </c>
      <c r="AW724" t="b">
        <v>0</v>
      </c>
      <c r="AX724" s="5">
        <v>0</v>
      </c>
      <c r="AY724" s="3"/>
      <c r="AZ724" t="s">
        <v>67</v>
      </c>
      <c r="BA724" t="s">
        <v>67</v>
      </c>
      <c r="BB724" t="s">
        <v>317</v>
      </c>
    </row>
    <row r="725" spans="1:54" x14ac:dyDescent="0.3">
      <c r="A725">
        <v>1</v>
      </c>
      <c r="B725">
        <v>15</v>
      </c>
      <c r="C725" t="s">
        <v>54</v>
      </c>
      <c r="D725" s="3">
        <v>46281.663761574076</v>
      </c>
      <c r="E725" s="8">
        <v>46289</v>
      </c>
      <c r="F725" t="s">
        <v>2234</v>
      </c>
      <c r="G725" t="s">
        <v>56</v>
      </c>
      <c r="H725" t="s">
        <v>1634</v>
      </c>
      <c r="I725" t="s">
        <v>1635</v>
      </c>
      <c r="J725" t="s">
        <v>59</v>
      </c>
      <c r="L725" t="s">
        <v>224</v>
      </c>
      <c r="M725" t="s">
        <v>63</v>
      </c>
      <c r="N725" t="s">
        <v>63</v>
      </c>
      <c r="O725" t="s">
        <v>121</v>
      </c>
      <c r="P725" t="s">
        <v>122</v>
      </c>
      <c r="Q725" s="5">
        <v>3</v>
      </c>
      <c r="R725" s="6">
        <v>320</v>
      </c>
      <c r="S725" s="6">
        <v>960</v>
      </c>
      <c r="T725" s="6">
        <v>600</v>
      </c>
      <c r="U725" s="3">
        <v>46301.458333333343</v>
      </c>
      <c r="W725" t="s">
        <v>1636</v>
      </c>
      <c r="X725" t="s">
        <v>70</v>
      </c>
      <c r="Y725" t="s">
        <v>23</v>
      </c>
      <c r="Z725" t="s">
        <v>69</v>
      </c>
      <c r="AA725" t="s">
        <v>69</v>
      </c>
      <c r="AB725" t="s">
        <v>67</v>
      </c>
      <c r="AC725" t="s">
        <v>70</v>
      </c>
      <c r="AD725" t="s">
        <v>71</v>
      </c>
      <c r="AF725" t="s">
        <v>67</v>
      </c>
      <c r="AH725" t="b">
        <v>0</v>
      </c>
      <c r="AI725" t="b">
        <v>0</v>
      </c>
      <c r="AJ725" t="b">
        <v>0</v>
      </c>
      <c r="AK725" t="b">
        <v>0</v>
      </c>
      <c r="AL725" s="6">
        <v>200</v>
      </c>
      <c r="AM725" s="3">
        <v>46301.458333333343</v>
      </c>
      <c r="AN725">
        <v>1</v>
      </c>
      <c r="AO725" s="3"/>
      <c r="AT725" t="b">
        <v>0</v>
      </c>
      <c r="AU725" t="s">
        <v>74</v>
      </c>
      <c r="AV725" t="b">
        <v>1</v>
      </c>
      <c r="AW725" t="b">
        <v>0</v>
      </c>
      <c r="AX725" s="5">
        <v>0</v>
      </c>
      <c r="AY725" s="3"/>
      <c r="AZ725" t="s">
        <v>67</v>
      </c>
      <c r="BA725" t="s">
        <v>67</v>
      </c>
      <c r="BB725" t="s">
        <v>317</v>
      </c>
    </row>
    <row r="726" spans="1:54" x14ac:dyDescent="0.3">
      <c r="A726">
        <v>1</v>
      </c>
      <c r="B726">
        <v>15</v>
      </c>
      <c r="C726" t="s">
        <v>54</v>
      </c>
      <c r="D726" s="3">
        <v>46281.663761574076</v>
      </c>
      <c r="E726" s="8">
        <v>46289</v>
      </c>
      <c r="F726" t="s">
        <v>2234</v>
      </c>
      <c r="G726" t="s">
        <v>56</v>
      </c>
      <c r="H726" t="s">
        <v>1634</v>
      </c>
      <c r="I726" t="s">
        <v>1635</v>
      </c>
      <c r="J726" t="s">
        <v>59</v>
      </c>
      <c r="L726" t="s">
        <v>224</v>
      </c>
      <c r="M726" t="s">
        <v>63</v>
      </c>
      <c r="N726" t="s">
        <v>63</v>
      </c>
      <c r="O726" t="s">
        <v>1141</v>
      </c>
      <c r="P726" t="s">
        <v>1142</v>
      </c>
      <c r="Q726" s="5">
        <v>3</v>
      </c>
      <c r="R726" s="6">
        <v>237</v>
      </c>
      <c r="S726" s="6">
        <v>711</v>
      </c>
      <c r="T726" s="6">
        <v>472.5</v>
      </c>
      <c r="U726" s="3">
        <v>46301.458333333343</v>
      </c>
      <c r="W726" t="s">
        <v>1636</v>
      </c>
      <c r="X726" t="s">
        <v>70</v>
      </c>
      <c r="Y726" t="s">
        <v>68</v>
      </c>
      <c r="Z726" t="s">
        <v>69</v>
      </c>
      <c r="AA726" t="s">
        <v>69</v>
      </c>
      <c r="AB726" t="s">
        <v>67</v>
      </c>
      <c r="AC726" t="s">
        <v>70</v>
      </c>
      <c r="AD726" t="s">
        <v>71</v>
      </c>
      <c r="AE726" t="s">
        <v>72</v>
      </c>
      <c r="AF726" t="s">
        <v>67</v>
      </c>
      <c r="AG726" t="s">
        <v>1143</v>
      </c>
      <c r="AH726" t="b">
        <v>0</v>
      </c>
      <c r="AI726" t="b">
        <v>0</v>
      </c>
      <c r="AJ726" t="b">
        <v>0</v>
      </c>
      <c r="AK726" t="b">
        <v>0</v>
      </c>
      <c r="AL726" s="6">
        <v>157.5</v>
      </c>
      <c r="AM726" s="3">
        <v>46301.458333333343</v>
      </c>
      <c r="AN726">
        <v>1</v>
      </c>
      <c r="AO726" s="3"/>
      <c r="AT726" t="b">
        <v>0</v>
      </c>
      <c r="AU726" t="s">
        <v>74</v>
      </c>
      <c r="AV726" t="b">
        <v>1</v>
      </c>
      <c r="AW726" t="b">
        <v>0</v>
      </c>
      <c r="AX726" s="5">
        <v>0</v>
      </c>
      <c r="AY726" s="3"/>
      <c r="AZ726" t="s">
        <v>67</v>
      </c>
      <c r="BA726" t="s">
        <v>67</v>
      </c>
      <c r="BB726" t="s">
        <v>317</v>
      </c>
    </row>
    <row r="727" spans="1:54" x14ac:dyDescent="0.3">
      <c r="A727">
        <v>1</v>
      </c>
      <c r="B727">
        <v>15</v>
      </c>
      <c r="C727" t="s">
        <v>54</v>
      </c>
      <c r="D727" s="3">
        <v>46281.663761574076</v>
      </c>
      <c r="E727" s="8">
        <v>46289</v>
      </c>
      <c r="F727" t="s">
        <v>2234</v>
      </c>
      <c r="G727" t="s">
        <v>56</v>
      </c>
      <c r="H727" t="s">
        <v>1634</v>
      </c>
      <c r="I727" t="s">
        <v>1635</v>
      </c>
      <c r="J727" t="s">
        <v>59</v>
      </c>
      <c r="L727" t="s">
        <v>224</v>
      </c>
      <c r="M727" t="s">
        <v>63</v>
      </c>
      <c r="N727" t="s">
        <v>63</v>
      </c>
      <c r="O727" t="s">
        <v>1187</v>
      </c>
      <c r="P727" t="s">
        <v>1188</v>
      </c>
      <c r="Q727" s="5">
        <v>2</v>
      </c>
      <c r="R727" s="6">
        <v>520</v>
      </c>
      <c r="S727" s="6">
        <v>1040</v>
      </c>
      <c r="T727" s="6">
        <v>203.14</v>
      </c>
      <c r="U727" s="3">
        <v>46301.458333333343</v>
      </c>
      <c r="W727" t="s">
        <v>1636</v>
      </c>
      <c r="X727" t="s">
        <v>70</v>
      </c>
      <c r="Y727" t="s">
        <v>68</v>
      </c>
      <c r="Z727" t="s">
        <v>69</v>
      </c>
      <c r="AA727" t="s">
        <v>69</v>
      </c>
      <c r="AB727" t="s">
        <v>67</v>
      </c>
      <c r="AC727" t="s">
        <v>70</v>
      </c>
      <c r="AD727" t="s">
        <v>71</v>
      </c>
      <c r="AE727" t="s">
        <v>110</v>
      </c>
      <c r="AF727" t="s">
        <v>67</v>
      </c>
      <c r="AG727" t="s">
        <v>1189</v>
      </c>
      <c r="AH727" t="b">
        <v>0</v>
      </c>
      <c r="AI727" t="b">
        <v>0</v>
      </c>
      <c r="AJ727" t="b">
        <v>0</v>
      </c>
      <c r="AK727" t="b">
        <v>0</v>
      </c>
      <c r="AL727" s="6">
        <v>101.57</v>
      </c>
      <c r="AM727" s="3">
        <v>46301.458333333343</v>
      </c>
      <c r="AN727">
        <v>1</v>
      </c>
      <c r="AO727" s="3"/>
      <c r="AT727" t="b">
        <v>0</v>
      </c>
      <c r="AU727" t="s">
        <v>74</v>
      </c>
      <c r="AV727" t="b">
        <v>1</v>
      </c>
      <c r="AW727" t="b">
        <v>0</v>
      </c>
      <c r="AX727" s="5">
        <v>0</v>
      </c>
      <c r="AY727" s="3"/>
      <c r="AZ727" t="s">
        <v>67</v>
      </c>
      <c r="BA727" t="s">
        <v>67</v>
      </c>
      <c r="BB727" t="s">
        <v>317</v>
      </c>
    </row>
    <row r="728" spans="1:54" x14ac:dyDescent="0.3">
      <c r="A728">
        <v>1</v>
      </c>
      <c r="B728">
        <v>15</v>
      </c>
      <c r="C728" t="s">
        <v>54</v>
      </c>
      <c r="D728" s="3">
        <v>46281.663761574076</v>
      </c>
      <c r="E728" s="8">
        <v>46289</v>
      </c>
      <c r="F728" t="s">
        <v>2234</v>
      </c>
      <c r="G728" t="s">
        <v>56</v>
      </c>
      <c r="H728" t="s">
        <v>1634</v>
      </c>
      <c r="I728" t="s">
        <v>1635</v>
      </c>
      <c r="J728" t="s">
        <v>59</v>
      </c>
      <c r="L728" t="s">
        <v>224</v>
      </c>
      <c r="M728" t="s">
        <v>63</v>
      </c>
      <c r="N728" t="s">
        <v>63</v>
      </c>
      <c r="O728" t="s">
        <v>2216</v>
      </c>
      <c r="P728" t="s">
        <v>2217</v>
      </c>
      <c r="Q728" s="5">
        <v>1</v>
      </c>
      <c r="R728" s="6">
        <v>520</v>
      </c>
      <c r="S728" s="6">
        <v>520</v>
      </c>
      <c r="T728" s="6">
        <v>101.57</v>
      </c>
      <c r="U728" s="3">
        <v>46301.458333333343</v>
      </c>
      <c r="W728" t="s">
        <v>1636</v>
      </c>
      <c r="X728" t="s">
        <v>70</v>
      </c>
      <c r="Y728" t="s">
        <v>68</v>
      </c>
      <c r="Z728" t="s">
        <v>69</v>
      </c>
      <c r="AA728" t="s">
        <v>69</v>
      </c>
      <c r="AB728" t="s">
        <v>67</v>
      </c>
      <c r="AC728" t="s">
        <v>70</v>
      </c>
      <c r="AD728" t="s">
        <v>71</v>
      </c>
      <c r="AE728" t="s">
        <v>110</v>
      </c>
      <c r="AF728" t="s">
        <v>67</v>
      </c>
      <c r="AG728" t="s">
        <v>2218</v>
      </c>
      <c r="AH728" t="b">
        <v>0</v>
      </c>
      <c r="AI728" t="b">
        <v>0</v>
      </c>
      <c r="AJ728" t="b">
        <v>0</v>
      </c>
      <c r="AK728" t="b">
        <v>0</v>
      </c>
      <c r="AL728" s="6">
        <v>101.57</v>
      </c>
      <c r="AM728" s="3">
        <v>46301.458333333343</v>
      </c>
      <c r="AN728">
        <v>1</v>
      </c>
      <c r="AO728" s="3"/>
      <c r="AT728" t="b">
        <v>0</v>
      </c>
      <c r="AU728" t="s">
        <v>74</v>
      </c>
      <c r="AV728" t="b">
        <v>1</v>
      </c>
      <c r="AW728" t="b">
        <v>0</v>
      </c>
      <c r="AX728" s="5">
        <v>0</v>
      </c>
      <c r="AY728" s="3"/>
      <c r="AZ728" t="s">
        <v>67</v>
      </c>
      <c r="BA728" t="s">
        <v>67</v>
      </c>
      <c r="BB728" t="s">
        <v>317</v>
      </c>
    </row>
    <row r="729" spans="1:54" x14ac:dyDescent="0.3">
      <c r="A729">
        <v>1</v>
      </c>
      <c r="B729">
        <v>15</v>
      </c>
      <c r="C729" t="s">
        <v>54</v>
      </c>
      <c r="D729" s="3">
        <v>46281.663761574076</v>
      </c>
      <c r="E729" s="8">
        <v>46289</v>
      </c>
      <c r="F729" t="s">
        <v>2234</v>
      </c>
      <c r="G729" t="s">
        <v>56</v>
      </c>
      <c r="H729" t="s">
        <v>1634</v>
      </c>
      <c r="I729" t="s">
        <v>1635</v>
      </c>
      <c r="J729" t="s">
        <v>59</v>
      </c>
      <c r="L729" t="s">
        <v>224</v>
      </c>
      <c r="M729" t="s">
        <v>63</v>
      </c>
      <c r="N729" t="s">
        <v>63</v>
      </c>
      <c r="O729" t="s">
        <v>239</v>
      </c>
      <c r="P729" t="s">
        <v>240</v>
      </c>
      <c r="Q729" s="5">
        <v>1</v>
      </c>
      <c r="R729" s="6">
        <v>660</v>
      </c>
      <c r="S729" s="6">
        <v>660</v>
      </c>
      <c r="T729" s="6">
        <v>440</v>
      </c>
      <c r="U729" s="3">
        <v>46301.458333333343</v>
      </c>
      <c r="W729" t="s">
        <v>1636</v>
      </c>
      <c r="X729" t="s">
        <v>70</v>
      </c>
      <c r="Y729" t="s">
        <v>68</v>
      </c>
      <c r="Z729" t="s">
        <v>69</v>
      </c>
      <c r="AA729" t="s">
        <v>69</v>
      </c>
      <c r="AB729" t="s">
        <v>67</v>
      </c>
      <c r="AC729" t="s">
        <v>70</v>
      </c>
      <c r="AD729" t="s">
        <v>71</v>
      </c>
      <c r="AE729" t="s">
        <v>242</v>
      </c>
      <c r="AF729" t="s">
        <v>67</v>
      </c>
      <c r="AG729" t="s">
        <v>243</v>
      </c>
      <c r="AH729" t="b">
        <v>0</v>
      </c>
      <c r="AI729" t="b">
        <v>0</v>
      </c>
      <c r="AJ729" t="b">
        <v>0</v>
      </c>
      <c r="AK729" t="b">
        <v>0</v>
      </c>
      <c r="AL729" s="6">
        <v>440</v>
      </c>
      <c r="AM729" s="3">
        <v>46301.458333333343</v>
      </c>
      <c r="AN729">
        <v>1</v>
      </c>
      <c r="AO729" s="3"/>
      <c r="AT729" t="b">
        <v>0</v>
      </c>
      <c r="AU729" t="s">
        <v>74</v>
      </c>
      <c r="AV729" t="b">
        <v>1</v>
      </c>
      <c r="AW729" t="b">
        <v>0</v>
      </c>
      <c r="AX729" s="5">
        <v>0</v>
      </c>
      <c r="AY729" s="3"/>
      <c r="AZ729" t="s">
        <v>67</v>
      </c>
      <c r="BA729" t="s">
        <v>67</v>
      </c>
      <c r="BB729" t="s">
        <v>317</v>
      </c>
    </row>
    <row r="730" spans="1:54" x14ac:dyDescent="0.3">
      <c r="A730">
        <v>1</v>
      </c>
      <c r="B730">
        <v>15</v>
      </c>
      <c r="C730" t="s">
        <v>54</v>
      </c>
      <c r="D730" s="3">
        <v>46288.366863425923</v>
      </c>
      <c r="E730" s="8">
        <v>46288</v>
      </c>
      <c r="F730" t="s">
        <v>2235</v>
      </c>
      <c r="G730" t="s">
        <v>56</v>
      </c>
      <c r="H730" t="s">
        <v>2236</v>
      </c>
      <c r="I730" t="s">
        <v>2237</v>
      </c>
      <c r="J730" t="s">
        <v>363</v>
      </c>
      <c r="K730" t="s">
        <v>2238</v>
      </c>
      <c r="L730" t="s">
        <v>986</v>
      </c>
      <c r="M730" t="s">
        <v>366</v>
      </c>
      <c r="N730" t="s">
        <v>366</v>
      </c>
      <c r="O730" t="s">
        <v>1772</v>
      </c>
      <c r="P730" t="s">
        <v>1773</v>
      </c>
      <c r="Q730" s="5">
        <v>1</v>
      </c>
      <c r="R730" s="6">
        <v>297</v>
      </c>
      <c r="S730" s="6">
        <v>297</v>
      </c>
      <c r="T730" s="6">
        <v>185.11</v>
      </c>
      <c r="U730" s="3">
        <v>46288.208333333343</v>
      </c>
      <c r="W730" t="s">
        <v>2239</v>
      </c>
      <c r="X730" t="s">
        <v>70</v>
      </c>
      <c r="Y730" t="s">
        <v>23</v>
      </c>
      <c r="Z730" t="s">
        <v>69</v>
      </c>
      <c r="AA730" t="s">
        <v>69</v>
      </c>
      <c r="AB730" t="s">
        <v>67</v>
      </c>
      <c r="AC730" t="s">
        <v>67</v>
      </c>
      <c r="AD730" t="s">
        <v>370</v>
      </c>
      <c r="AE730" t="s">
        <v>102</v>
      </c>
      <c r="AF730" t="s">
        <v>67</v>
      </c>
      <c r="AH730" t="b">
        <v>0</v>
      </c>
      <c r="AI730" t="b">
        <v>0</v>
      </c>
      <c r="AJ730" t="b">
        <v>0</v>
      </c>
      <c r="AK730" t="b">
        <v>0</v>
      </c>
      <c r="AL730" s="6">
        <v>185.11</v>
      </c>
      <c r="AM730" s="3">
        <v>46288.208333333343</v>
      </c>
      <c r="AN730">
        <v>1</v>
      </c>
      <c r="AO730" s="3"/>
      <c r="AP730" t="s">
        <v>112</v>
      </c>
      <c r="AQ730" t="s">
        <v>112</v>
      </c>
      <c r="AR730" t="s">
        <v>1274</v>
      </c>
      <c r="AS730">
        <v>1</v>
      </c>
      <c r="AT730" t="b">
        <v>0</v>
      </c>
      <c r="AU730" t="s">
        <v>114</v>
      </c>
      <c r="AV730" t="b">
        <v>1</v>
      </c>
      <c r="AW730" t="b">
        <v>0</v>
      </c>
      <c r="AX730" s="5">
        <v>0</v>
      </c>
      <c r="AY730" s="3"/>
      <c r="AZ730" t="s">
        <v>67</v>
      </c>
      <c r="BA730" t="s">
        <v>67</v>
      </c>
      <c r="BB730" t="s">
        <v>997</v>
      </c>
    </row>
    <row r="731" spans="1:54" x14ac:dyDescent="0.3">
      <c r="A731">
        <v>1</v>
      </c>
      <c r="B731">
        <v>15</v>
      </c>
      <c r="C731" t="s">
        <v>54</v>
      </c>
      <c r="D731" s="3">
        <v>46288.463472222233</v>
      </c>
      <c r="E731" s="8">
        <v>46288</v>
      </c>
      <c r="F731" t="s">
        <v>2240</v>
      </c>
      <c r="G731" t="s">
        <v>56</v>
      </c>
      <c r="H731" t="s">
        <v>2241</v>
      </c>
      <c r="I731" t="s">
        <v>2242</v>
      </c>
      <c r="J731" t="s">
        <v>363</v>
      </c>
      <c r="K731" t="s">
        <v>2238</v>
      </c>
      <c r="L731" t="s">
        <v>986</v>
      </c>
      <c r="M731" t="s">
        <v>366</v>
      </c>
      <c r="N731" t="s">
        <v>366</v>
      </c>
      <c r="O731" t="s">
        <v>742</v>
      </c>
      <c r="P731" t="s">
        <v>743</v>
      </c>
      <c r="Q731" s="5">
        <v>1</v>
      </c>
      <c r="R731" s="6">
        <v>555</v>
      </c>
      <c r="S731" s="6">
        <v>555</v>
      </c>
      <c r="T731" s="6">
        <v>346.68</v>
      </c>
      <c r="U731" s="3">
        <v>46288.25</v>
      </c>
      <c r="W731" t="s">
        <v>2243</v>
      </c>
      <c r="X731" t="s">
        <v>70</v>
      </c>
      <c r="Y731" t="s">
        <v>23</v>
      </c>
      <c r="Z731" t="s">
        <v>69</v>
      </c>
      <c r="AA731" t="s">
        <v>69</v>
      </c>
      <c r="AB731" t="s">
        <v>67</v>
      </c>
      <c r="AC731" t="s">
        <v>67</v>
      </c>
      <c r="AD731" t="s">
        <v>370</v>
      </c>
      <c r="AE731" t="s">
        <v>102</v>
      </c>
      <c r="AF731" t="s">
        <v>67</v>
      </c>
      <c r="AH731" t="b">
        <v>0</v>
      </c>
      <c r="AI731" t="b">
        <v>0</v>
      </c>
      <c r="AJ731" t="b">
        <v>0</v>
      </c>
      <c r="AK731" t="b">
        <v>0</v>
      </c>
      <c r="AL731" s="6">
        <v>346.68</v>
      </c>
      <c r="AM731" s="3">
        <v>46288.25</v>
      </c>
      <c r="AN731">
        <v>1</v>
      </c>
      <c r="AO731" s="3"/>
      <c r="AT731" t="b">
        <v>0</v>
      </c>
      <c r="AU731" t="s">
        <v>74</v>
      </c>
      <c r="AV731" t="b">
        <v>1</v>
      </c>
      <c r="AW731" t="b">
        <v>0</v>
      </c>
      <c r="AX731" s="5">
        <v>0</v>
      </c>
      <c r="AY731" s="3"/>
      <c r="AZ731" t="s">
        <v>67</v>
      </c>
      <c r="BA731" t="s">
        <v>67</v>
      </c>
      <c r="BB731" t="s">
        <v>317</v>
      </c>
    </row>
    <row r="732" spans="1:54" x14ac:dyDescent="0.3">
      <c r="A732">
        <v>1</v>
      </c>
      <c r="B732">
        <v>15</v>
      </c>
      <c r="C732" t="s">
        <v>54</v>
      </c>
      <c r="D732" s="3">
        <v>46288.485000000001</v>
      </c>
      <c r="E732" s="8">
        <v>46288</v>
      </c>
      <c r="F732" t="s">
        <v>2244</v>
      </c>
      <c r="G732" t="s">
        <v>56</v>
      </c>
      <c r="H732" t="s">
        <v>2245</v>
      </c>
      <c r="I732" t="s">
        <v>2246</v>
      </c>
      <c r="J732" t="s">
        <v>363</v>
      </c>
      <c r="K732" t="s">
        <v>2238</v>
      </c>
      <c r="L732" t="s">
        <v>986</v>
      </c>
      <c r="M732" t="s">
        <v>366</v>
      </c>
      <c r="N732" t="s">
        <v>366</v>
      </c>
      <c r="O732" t="s">
        <v>1772</v>
      </c>
      <c r="P732" t="s">
        <v>1773</v>
      </c>
      <c r="Q732" s="5">
        <v>1</v>
      </c>
      <c r="R732" s="6">
        <v>297</v>
      </c>
      <c r="S732" s="6">
        <v>297</v>
      </c>
      <c r="T732" s="6">
        <v>185.11</v>
      </c>
      <c r="U732" s="3">
        <v>46288.333333333343</v>
      </c>
      <c r="W732" t="s">
        <v>2247</v>
      </c>
      <c r="X732" t="s">
        <v>70</v>
      </c>
      <c r="Y732" t="s">
        <v>23</v>
      </c>
      <c r="Z732" t="s">
        <v>69</v>
      </c>
      <c r="AA732" t="s">
        <v>69</v>
      </c>
      <c r="AB732" t="s">
        <v>67</v>
      </c>
      <c r="AC732" t="s">
        <v>70</v>
      </c>
      <c r="AD732" t="s">
        <v>370</v>
      </c>
      <c r="AE732" t="s">
        <v>102</v>
      </c>
      <c r="AF732" t="s">
        <v>67</v>
      </c>
      <c r="AH732" t="b">
        <v>0</v>
      </c>
      <c r="AI732" t="b">
        <v>0</v>
      </c>
      <c r="AJ732" t="b">
        <v>0</v>
      </c>
      <c r="AK732" t="b">
        <v>0</v>
      </c>
      <c r="AL732" s="6">
        <v>185.11</v>
      </c>
      <c r="AM732" s="3">
        <v>46288.333333333343</v>
      </c>
      <c r="AN732">
        <v>1</v>
      </c>
      <c r="AO732" s="3"/>
      <c r="AP732" t="s">
        <v>112</v>
      </c>
      <c r="AQ732" t="s">
        <v>112</v>
      </c>
      <c r="AR732" t="s">
        <v>1274</v>
      </c>
      <c r="AS732">
        <v>1</v>
      </c>
      <c r="AT732" t="b">
        <v>0</v>
      </c>
      <c r="AU732" t="s">
        <v>114</v>
      </c>
      <c r="AV732" t="b">
        <v>1</v>
      </c>
      <c r="AW732" t="b">
        <v>0</v>
      </c>
      <c r="AX732" s="5">
        <v>0</v>
      </c>
      <c r="AY732" s="3"/>
      <c r="AZ732" t="s">
        <v>67</v>
      </c>
      <c r="BA732" t="s">
        <v>67</v>
      </c>
      <c r="BB732" t="s">
        <v>997</v>
      </c>
    </row>
    <row r="733" spans="1:54" x14ac:dyDescent="0.3">
      <c r="A733">
        <v>1</v>
      </c>
      <c r="B733">
        <v>15</v>
      </c>
      <c r="C733" t="s">
        <v>54</v>
      </c>
      <c r="D733" s="3">
        <v>46288.488842592589</v>
      </c>
      <c r="E733" s="8">
        <v>46288</v>
      </c>
      <c r="F733" t="s">
        <v>2248</v>
      </c>
      <c r="G733" t="s">
        <v>56</v>
      </c>
      <c r="H733" t="s">
        <v>2249</v>
      </c>
      <c r="I733" t="s">
        <v>2250</v>
      </c>
      <c r="J733" t="s">
        <v>363</v>
      </c>
      <c r="K733" t="s">
        <v>1061</v>
      </c>
      <c r="L733" t="s">
        <v>986</v>
      </c>
      <c r="M733" t="s">
        <v>366</v>
      </c>
      <c r="N733" t="s">
        <v>366</v>
      </c>
      <c r="O733" t="s">
        <v>2251</v>
      </c>
      <c r="P733" t="s">
        <v>2252</v>
      </c>
      <c r="Q733" s="5">
        <v>2</v>
      </c>
      <c r="R733" s="6">
        <v>370</v>
      </c>
      <c r="S733" s="6">
        <v>740</v>
      </c>
      <c r="T733" s="6">
        <v>462.24</v>
      </c>
      <c r="U733" s="3">
        <v>46288.333333333343</v>
      </c>
      <c r="W733" t="s">
        <v>2253</v>
      </c>
      <c r="X733" t="s">
        <v>70</v>
      </c>
      <c r="Y733" t="s">
        <v>23</v>
      </c>
      <c r="Z733" t="s">
        <v>69</v>
      </c>
      <c r="AA733" t="s">
        <v>69</v>
      </c>
      <c r="AB733" t="s">
        <v>67</v>
      </c>
      <c r="AC733" t="s">
        <v>70</v>
      </c>
      <c r="AD733" t="s">
        <v>370</v>
      </c>
      <c r="AE733" t="s">
        <v>102</v>
      </c>
      <c r="AF733" t="s">
        <v>67</v>
      </c>
      <c r="AH733" t="b">
        <v>0</v>
      </c>
      <c r="AI733" t="b">
        <v>0</v>
      </c>
      <c r="AJ733" t="b">
        <v>0</v>
      </c>
      <c r="AK733" t="b">
        <v>0</v>
      </c>
      <c r="AL733" s="6">
        <v>231.12</v>
      </c>
      <c r="AM733" s="3">
        <v>46288.333333333343</v>
      </c>
      <c r="AN733">
        <v>1</v>
      </c>
      <c r="AO733" s="3"/>
      <c r="AP733" t="s">
        <v>112</v>
      </c>
      <c r="AQ733" t="s">
        <v>112</v>
      </c>
      <c r="AR733" t="s">
        <v>1274</v>
      </c>
      <c r="AS733">
        <v>1</v>
      </c>
      <c r="AT733" t="b">
        <v>0</v>
      </c>
      <c r="AU733" t="s">
        <v>114</v>
      </c>
      <c r="AV733" t="b">
        <v>1</v>
      </c>
      <c r="AW733" t="b">
        <v>0</v>
      </c>
      <c r="AX733" s="5">
        <v>0</v>
      </c>
      <c r="AY733" s="3"/>
      <c r="AZ733" t="s">
        <v>67</v>
      </c>
      <c r="BA733" t="s">
        <v>67</v>
      </c>
      <c r="BB733" t="s">
        <v>997</v>
      </c>
    </row>
    <row r="734" spans="1:54" x14ac:dyDescent="0.3">
      <c r="A734">
        <v>1</v>
      </c>
      <c r="B734">
        <v>15</v>
      </c>
      <c r="C734" t="s">
        <v>54</v>
      </c>
      <c r="D734" s="3">
        <v>46288.505104166667</v>
      </c>
      <c r="E734" s="8">
        <v>46295</v>
      </c>
      <c r="F734" t="s">
        <v>2254</v>
      </c>
      <c r="G734" t="s">
        <v>56</v>
      </c>
      <c r="H734" t="s">
        <v>2255</v>
      </c>
      <c r="I734" t="s">
        <v>2256</v>
      </c>
      <c r="J734" t="s">
        <v>363</v>
      </c>
      <c r="L734" t="s">
        <v>986</v>
      </c>
      <c r="M734" t="s">
        <v>366</v>
      </c>
      <c r="N734" t="s">
        <v>366</v>
      </c>
      <c r="O734" t="s">
        <v>742</v>
      </c>
      <c r="P734" t="s">
        <v>743</v>
      </c>
      <c r="Q734" s="5">
        <v>1</v>
      </c>
      <c r="R734" s="6">
        <v>555</v>
      </c>
      <c r="S734" s="6">
        <v>555</v>
      </c>
      <c r="T734" s="6">
        <v>346.68</v>
      </c>
      <c r="U734" s="3">
        <v>46295.538194444453</v>
      </c>
      <c r="W734" t="s">
        <v>2257</v>
      </c>
      <c r="X734" t="s">
        <v>70</v>
      </c>
      <c r="Y734" t="s">
        <v>23</v>
      </c>
      <c r="Z734" t="s">
        <v>69</v>
      </c>
      <c r="AA734" t="s">
        <v>69</v>
      </c>
      <c r="AB734" t="s">
        <v>67</v>
      </c>
      <c r="AC734" t="s">
        <v>70</v>
      </c>
      <c r="AD734" t="s">
        <v>370</v>
      </c>
      <c r="AE734" t="s">
        <v>102</v>
      </c>
      <c r="AF734" t="s">
        <v>67</v>
      </c>
      <c r="AH734" t="b">
        <v>0</v>
      </c>
      <c r="AI734" t="b">
        <v>0</v>
      </c>
      <c r="AJ734" t="b">
        <v>0</v>
      </c>
      <c r="AK734" t="b">
        <v>0</v>
      </c>
      <c r="AL734" s="6">
        <v>346.68</v>
      </c>
      <c r="AM734" s="3">
        <v>46260.229166666657</v>
      </c>
      <c r="AN734">
        <v>1</v>
      </c>
      <c r="AO734" s="3"/>
      <c r="AT734" t="b">
        <v>0</v>
      </c>
      <c r="AU734" t="s">
        <v>74</v>
      </c>
      <c r="AV734" t="b">
        <v>1</v>
      </c>
      <c r="AW734" t="b">
        <v>0</v>
      </c>
      <c r="AX734" s="5">
        <v>0</v>
      </c>
      <c r="AY734" s="3"/>
      <c r="AZ734" t="s">
        <v>67</v>
      </c>
      <c r="BA734" t="s">
        <v>67</v>
      </c>
      <c r="BB734" t="s">
        <v>317</v>
      </c>
    </row>
    <row r="735" spans="1:54" x14ac:dyDescent="0.3">
      <c r="A735">
        <v>1</v>
      </c>
      <c r="B735">
        <v>15</v>
      </c>
      <c r="C735" t="s">
        <v>54</v>
      </c>
      <c r="D735" s="3">
        <v>46288.598761574067</v>
      </c>
      <c r="E735" s="8">
        <v>46288</v>
      </c>
      <c r="F735" t="s">
        <v>2258</v>
      </c>
      <c r="G735" t="s">
        <v>56</v>
      </c>
      <c r="H735" t="s">
        <v>2259</v>
      </c>
      <c r="I735" t="s">
        <v>2260</v>
      </c>
      <c r="J735" t="s">
        <v>363</v>
      </c>
      <c r="K735" t="s">
        <v>1061</v>
      </c>
      <c r="L735" t="s">
        <v>986</v>
      </c>
      <c r="M735" t="s">
        <v>366</v>
      </c>
      <c r="N735" t="s">
        <v>366</v>
      </c>
      <c r="O735" t="s">
        <v>1055</v>
      </c>
      <c r="P735" t="s">
        <v>1056</v>
      </c>
      <c r="Q735" s="5">
        <v>1</v>
      </c>
      <c r="R735" s="6">
        <v>25</v>
      </c>
      <c r="S735" s="6">
        <v>25</v>
      </c>
      <c r="T735" s="6">
        <v>9.8800000000000008</v>
      </c>
      <c r="U735" s="3">
        <v>46288.458333333343</v>
      </c>
      <c r="W735" t="s">
        <v>2261</v>
      </c>
      <c r="X735" t="s">
        <v>67</v>
      </c>
      <c r="Y735" t="s">
        <v>68</v>
      </c>
      <c r="Z735" t="s">
        <v>521</v>
      </c>
      <c r="AA735" t="s">
        <v>522</v>
      </c>
      <c r="AB735" t="s">
        <v>67</v>
      </c>
      <c r="AC735" t="s">
        <v>70</v>
      </c>
      <c r="AD735" t="s">
        <v>370</v>
      </c>
      <c r="AE735" t="s">
        <v>371</v>
      </c>
      <c r="AF735" t="s">
        <v>67</v>
      </c>
      <c r="AG735" t="s">
        <v>1055</v>
      </c>
      <c r="AH735" t="b">
        <v>0</v>
      </c>
      <c r="AI735" t="b">
        <v>0</v>
      </c>
      <c r="AJ735" t="b">
        <v>0</v>
      </c>
      <c r="AK735" t="b">
        <v>0</v>
      </c>
      <c r="AL735" s="6">
        <v>9.8800000000000008</v>
      </c>
      <c r="AM735" s="3">
        <v>46288.458333333343</v>
      </c>
      <c r="AN735">
        <v>1</v>
      </c>
      <c r="AO735" s="3"/>
      <c r="AT735" t="b">
        <v>0</v>
      </c>
      <c r="AU735" t="s">
        <v>74</v>
      </c>
      <c r="AV735" t="b">
        <v>1</v>
      </c>
      <c r="AW735" t="b">
        <v>0</v>
      </c>
      <c r="AX735" s="5">
        <v>0</v>
      </c>
      <c r="AY735" s="3"/>
      <c r="AZ735" t="s">
        <v>67</v>
      </c>
      <c r="BA735" t="s">
        <v>67</v>
      </c>
      <c r="BB735" t="s">
        <v>317</v>
      </c>
    </row>
    <row r="736" spans="1:54" x14ac:dyDescent="0.3">
      <c r="A736">
        <v>1</v>
      </c>
      <c r="B736">
        <v>15</v>
      </c>
      <c r="C736" t="s">
        <v>54</v>
      </c>
      <c r="D736" s="3">
        <v>46288.60733796296</v>
      </c>
      <c r="E736" s="8">
        <v>46288</v>
      </c>
      <c r="F736" t="s">
        <v>2262</v>
      </c>
      <c r="G736" t="s">
        <v>56</v>
      </c>
      <c r="H736" t="s">
        <v>2263</v>
      </c>
      <c r="I736" t="s">
        <v>2264</v>
      </c>
      <c r="J736" t="s">
        <v>363</v>
      </c>
      <c r="K736" t="s">
        <v>2238</v>
      </c>
      <c r="L736" t="s">
        <v>986</v>
      </c>
      <c r="M736" t="s">
        <v>366</v>
      </c>
      <c r="N736" t="s">
        <v>366</v>
      </c>
      <c r="O736" t="s">
        <v>1772</v>
      </c>
      <c r="P736" t="s">
        <v>1773</v>
      </c>
      <c r="Q736" s="5">
        <v>1</v>
      </c>
      <c r="R736" s="6">
        <v>297</v>
      </c>
      <c r="S736" s="6">
        <v>297</v>
      </c>
      <c r="T736" s="6">
        <v>185.11</v>
      </c>
      <c r="U736" s="3">
        <v>46288.4375</v>
      </c>
      <c r="W736" t="s">
        <v>2265</v>
      </c>
      <c r="X736" t="s">
        <v>70</v>
      </c>
      <c r="Y736" t="s">
        <v>23</v>
      </c>
      <c r="Z736" t="s">
        <v>69</v>
      </c>
      <c r="AA736" t="s">
        <v>69</v>
      </c>
      <c r="AB736" t="s">
        <v>67</v>
      </c>
      <c r="AC736" t="s">
        <v>67</v>
      </c>
      <c r="AD736" t="s">
        <v>370</v>
      </c>
      <c r="AE736" t="s">
        <v>102</v>
      </c>
      <c r="AF736" t="s">
        <v>67</v>
      </c>
      <c r="AH736" t="b">
        <v>0</v>
      </c>
      <c r="AI736" t="b">
        <v>0</v>
      </c>
      <c r="AJ736" t="b">
        <v>0</v>
      </c>
      <c r="AK736" t="b">
        <v>0</v>
      </c>
      <c r="AL736" s="6">
        <v>185.11</v>
      </c>
      <c r="AM736" s="3">
        <v>46288.4375</v>
      </c>
      <c r="AN736">
        <v>1</v>
      </c>
      <c r="AO736" s="3"/>
      <c r="AP736" t="s">
        <v>112</v>
      </c>
      <c r="AQ736" t="s">
        <v>112</v>
      </c>
      <c r="AR736" t="s">
        <v>1274</v>
      </c>
      <c r="AS736">
        <v>1</v>
      </c>
      <c r="AT736" t="b">
        <v>0</v>
      </c>
      <c r="AU736" t="s">
        <v>114</v>
      </c>
      <c r="AV736" t="b">
        <v>1</v>
      </c>
      <c r="AW736" t="b">
        <v>0</v>
      </c>
      <c r="AX736" s="5">
        <v>0</v>
      </c>
      <c r="AY736" s="3"/>
      <c r="AZ736" t="s">
        <v>67</v>
      </c>
      <c r="BA736" t="s">
        <v>67</v>
      </c>
      <c r="BB736" t="s">
        <v>997</v>
      </c>
    </row>
    <row r="737" spans="1:54" x14ac:dyDescent="0.3">
      <c r="A737">
        <v>1</v>
      </c>
      <c r="B737">
        <v>15</v>
      </c>
      <c r="C737" t="s">
        <v>54</v>
      </c>
      <c r="D737" s="3">
        <v>46288.656180555547</v>
      </c>
      <c r="E737" s="8">
        <v>46288</v>
      </c>
      <c r="F737" t="s">
        <v>2266</v>
      </c>
      <c r="G737" t="s">
        <v>56</v>
      </c>
      <c r="H737" t="s">
        <v>950</v>
      </c>
      <c r="I737" t="s">
        <v>951</v>
      </c>
      <c r="J737" t="s">
        <v>363</v>
      </c>
      <c r="K737" t="s">
        <v>952</v>
      </c>
      <c r="L737" t="s">
        <v>986</v>
      </c>
      <c r="M737" t="s">
        <v>366</v>
      </c>
      <c r="N737" t="s">
        <v>366</v>
      </c>
      <c r="O737" t="s">
        <v>531</v>
      </c>
      <c r="P737" t="s">
        <v>532</v>
      </c>
      <c r="Q737" s="5">
        <v>1</v>
      </c>
      <c r="R737" s="6">
        <v>25</v>
      </c>
      <c r="S737" s="6">
        <v>25</v>
      </c>
      <c r="T737" s="6">
        <v>9.8800000000000008</v>
      </c>
      <c r="U737" s="3">
        <v>46288.527777777781</v>
      </c>
      <c r="W737" t="s">
        <v>953</v>
      </c>
      <c r="X737" t="s">
        <v>67</v>
      </c>
      <c r="Y737" t="s">
        <v>68</v>
      </c>
      <c r="Z737" t="s">
        <v>521</v>
      </c>
      <c r="AA737" t="s">
        <v>522</v>
      </c>
      <c r="AB737" t="s">
        <v>67</v>
      </c>
      <c r="AC737" t="s">
        <v>70</v>
      </c>
      <c r="AD737" t="s">
        <v>370</v>
      </c>
      <c r="AE737" t="s">
        <v>371</v>
      </c>
      <c r="AF737" t="s">
        <v>67</v>
      </c>
      <c r="AG737" t="s">
        <v>531</v>
      </c>
      <c r="AH737" t="b">
        <v>0</v>
      </c>
      <c r="AI737" t="b">
        <v>0</v>
      </c>
      <c r="AJ737" t="b">
        <v>0</v>
      </c>
      <c r="AK737" t="b">
        <v>0</v>
      </c>
      <c r="AL737" s="6">
        <v>9.8800000000000008</v>
      </c>
      <c r="AM737" s="3">
        <v>46288.527777777781</v>
      </c>
      <c r="AN737">
        <v>1</v>
      </c>
      <c r="AO737" s="3"/>
      <c r="AT737" t="b">
        <v>0</v>
      </c>
      <c r="AU737" t="s">
        <v>74</v>
      </c>
      <c r="AV737" t="b">
        <v>1</v>
      </c>
      <c r="AW737" t="b">
        <v>0</v>
      </c>
      <c r="AX737" s="5">
        <v>0</v>
      </c>
      <c r="AY737" s="3"/>
      <c r="AZ737" t="s">
        <v>67</v>
      </c>
      <c r="BA737" t="s">
        <v>67</v>
      </c>
      <c r="BB737" t="s">
        <v>317</v>
      </c>
    </row>
    <row r="738" spans="1:54" x14ac:dyDescent="0.3">
      <c r="A738">
        <v>1</v>
      </c>
      <c r="B738">
        <v>15</v>
      </c>
      <c r="C738" t="s">
        <v>54</v>
      </c>
      <c r="D738" s="3">
        <v>46288.662326388891</v>
      </c>
      <c r="E738" s="8">
        <v>46288</v>
      </c>
      <c r="F738" t="s">
        <v>2267</v>
      </c>
      <c r="G738" t="s">
        <v>56</v>
      </c>
      <c r="H738" t="s">
        <v>2268</v>
      </c>
      <c r="I738" t="s">
        <v>2269</v>
      </c>
      <c r="J738" t="s">
        <v>363</v>
      </c>
      <c r="K738" t="s">
        <v>1895</v>
      </c>
      <c r="L738" t="s">
        <v>986</v>
      </c>
      <c r="M738" t="s">
        <v>366</v>
      </c>
      <c r="N738" t="s">
        <v>366</v>
      </c>
      <c r="O738" t="s">
        <v>378</v>
      </c>
      <c r="P738" t="s">
        <v>379</v>
      </c>
      <c r="Q738" s="5">
        <v>4</v>
      </c>
      <c r="R738" s="6">
        <v>10</v>
      </c>
      <c r="S738" s="6">
        <v>40</v>
      </c>
      <c r="T738" s="6">
        <v>4.88</v>
      </c>
      <c r="U738" s="3">
        <v>46316.5</v>
      </c>
      <c r="W738" t="s">
        <v>2270</v>
      </c>
      <c r="X738" t="s">
        <v>67</v>
      </c>
      <c r="Y738" t="s">
        <v>68</v>
      </c>
      <c r="Z738" t="s">
        <v>69</v>
      </c>
      <c r="AA738" t="s">
        <v>69</v>
      </c>
      <c r="AB738" t="s">
        <v>67</v>
      </c>
      <c r="AC738" t="s">
        <v>70</v>
      </c>
      <c r="AD738" t="s">
        <v>370</v>
      </c>
      <c r="AE738" t="s">
        <v>371</v>
      </c>
      <c r="AF738" t="s">
        <v>67</v>
      </c>
      <c r="AG738" t="s">
        <v>378</v>
      </c>
      <c r="AH738" t="b">
        <v>0</v>
      </c>
      <c r="AI738" t="b">
        <v>0</v>
      </c>
      <c r="AJ738" t="b">
        <v>0</v>
      </c>
      <c r="AK738" t="b">
        <v>0</v>
      </c>
      <c r="AL738" s="6">
        <v>1.22</v>
      </c>
      <c r="AM738" s="3">
        <v>46316.5</v>
      </c>
      <c r="AN738">
        <v>1</v>
      </c>
      <c r="AO738" s="3"/>
      <c r="AT738" t="b">
        <v>0</v>
      </c>
      <c r="AU738" t="s">
        <v>74</v>
      </c>
      <c r="AV738" t="b">
        <v>1</v>
      </c>
      <c r="AW738" t="b">
        <v>0</v>
      </c>
      <c r="AX738" s="5">
        <v>0</v>
      </c>
      <c r="AY738" s="3"/>
      <c r="AZ738" t="s">
        <v>67</v>
      </c>
      <c r="BA738" t="s">
        <v>67</v>
      </c>
      <c r="BB738" t="s">
        <v>317</v>
      </c>
    </row>
    <row r="739" spans="1:54" x14ac:dyDescent="0.3">
      <c r="A739">
        <v>1</v>
      </c>
      <c r="B739">
        <v>15</v>
      </c>
      <c r="C739" t="s">
        <v>54</v>
      </c>
      <c r="D739" s="3">
        <v>45435.431759259263</v>
      </c>
      <c r="G739" t="s">
        <v>2271</v>
      </c>
      <c r="H739" t="s">
        <v>2272</v>
      </c>
      <c r="I739" t="s">
        <v>2273</v>
      </c>
      <c r="J739" t="s">
        <v>363</v>
      </c>
      <c r="K739" t="s">
        <v>2274</v>
      </c>
      <c r="L739" t="s">
        <v>741</v>
      </c>
      <c r="M739" t="s">
        <v>366</v>
      </c>
      <c r="N739" t="s">
        <v>366</v>
      </c>
      <c r="Q739" s="5"/>
      <c r="R739" s="6"/>
      <c r="S739" s="6"/>
      <c r="T739" s="6"/>
      <c r="U739" s="3">
        <v>46260.25</v>
      </c>
      <c r="W739" t="s">
        <v>2275</v>
      </c>
      <c r="X739" t="s">
        <v>70</v>
      </c>
      <c r="Z739" t="s">
        <v>69</v>
      </c>
      <c r="AA739" t="s">
        <v>69</v>
      </c>
      <c r="AB739" t="s">
        <v>70</v>
      </c>
      <c r="AC739" t="s">
        <v>70</v>
      </c>
      <c r="AD739" t="s">
        <v>745</v>
      </c>
      <c r="AH739" t="b">
        <v>0</v>
      </c>
      <c r="AI739" t="b">
        <v>0</v>
      </c>
      <c r="AJ739" t="b">
        <v>0</v>
      </c>
      <c r="AK739" t="b">
        <v>0</v>
      </c>
      <c r="AL739" s="6"/>
      <c r="AM739" s="3">
        <v>46260.25</v>
      </c>
      <c r="AN739">
        <v>0</v>
      </c>
      <c r="AO739" s="3"/>
      <c r="AT739" t="b">
        <v>0</v>
      </c>
      <c r="AU739" t="s">
        <v>74</v>
      </c>
      <c r="AV739" t="b">
        <v>0</v>
      </c>
      <c r="AW739" t="b">
        <v>0</v>
      </c>
      <c r="AX739" s="5"/>
      <c r="AY739" s="3"/>
      <c r="AZ739" t="s">
        <v>67</v>
      </c>
      <c r="BA739" t="s">
        <v>67</v>
      </c>
      <c r="BB739" t="s">
        <v>317</v>
      </c>
    </row>
    <row r="740" spans="1:54" x14ac:dyDescent="0.3">
      <c r="A740">
        <v>1</v>
      </c>
      <c r="B740">
        <v>15</v>
      </c>
      <c r="C740" t="s">
        <v>54</v>
      </c>
      <c r="D740" s="3">
        <v>45435.711655092593</v>
      </c>
      <c r="G740" t="s">
        <v>2271</v>
      </c>
      <c r="H740" t="s">
        <v>2272</v>
      </c>
      <c r="I740" t="s">
        <v>2273</v>
      </c>
      <c r="J740" t="s">
        <v>363</v>
      </c>
      <c r="K740" t="s">
        <v>2274</v>
      </c>
      <c r="L740" t="s">
        <v>741</v>
      </c>
      <c r="M740" t="s">
        <v>366</v>
      </c>
      <c r="N740" t="s">
        <v>366</v>
      </c>
      <c r="Q740" s="5"/>
      <c r="R740" s="6"/>
      <c r="S740" s="6"/>
      <c r="T740" s="6"/>
      <c r="U740" s="3">
        <v>46260.25</v>
      </c>
      <c r="W740" t="s">
        <v>2275</v>
      </c>
      <c r="X740" t="s">
        <v>70</v>
      </c>
      <c r="Z740" t="s">
        <v>69</v>
      </c>
      <c r="AA740" t="s">
        <v>69</v>
      </c>
      <c r="AB740" t="s">
        <v>70</v>
      </c>
      <c r="AC740" t="s">
        <v>70</v>
      </c>
      <c r="AD740" t="s">
        <v>745</v>
      </c>
      <c r="AH740" t="b">
        <v>0</v>
      </c>
      <c r="AI740" t="b">
        <v>0</v>
      </c>
      <c r="AJ740" t="b">
        <v>0</v>
      </c>
      <c r="AK740" t="b">
        <v>0</v>
      </c>
      <c r="AL740" s="6"/>
      <c r="AM740" s="3">
        <v>46260.25</v>
      </c>
      <c r="AN740">
        <v>0</v>
      </c>
      <c r="AO740" s="3"/>
      <c r="AT740" t="b">
        <v>0</v>
      </c>
      <c r="AU740" t="s">
        <v>74</v>
      </c>
      <c r="AV740" t="b">
        <v>0</v>
      </c>
      <c r="AW740" t="b">
        <v>0</v>
      </c>
      <c r="AX740" s="5"/>
      <c r="AY740" s="3"/>
      <c r="AZ740" t="s">
        <v>67</v>
      </c>
      <c r="BA740" t="s">
        <v>67</v>
      </c>
      <c r="BB740" t="s">
        <v>317</v>
      </c>
    </row>
    <row r="741" spans="1:54" x14ac:dyDescent="0.3">
      <c r="A741">
        <v>1</v>
      </c>
      <c r="B741">
        <v>15</v>
      </c>
      <c r="C741" t="s">
        <v>54</v>
      </c>
      <c r="D741" s="3">
        <v>46154.619502314818</v>
      </c>
      <c r="G741" t="s">
        <v>2271</v>
      </c>
      <c r="H741" t="s">
        <v>2276</v>
      </c>
      <c r="I741" t="s">
        <v>2277</v>
      </c>
      <c r="J741" t="s">
        <v>59</v>
      </c>
      <c r="K741" t="s">
        <v>2278</v>
      </c>
      <c r="L741" t="s">
        <v>61</v>
      </c>
      <c r="M741" t="s">
        <v>62</v>
      </c>
      <c r="N741" t="s">
        <v>63</v>
      </c>
      <c r="Q741" s="5"/>
      <c r="R741" s="6"/>
      <c r="S741" s="6"/>
      <c r="T741" s="6"/>
      <c r="U741" s="3">
        <v>46300.541666666657</v>
      </c>
      <c r="W741" t="s">
        <v>2279</v>
      </c>
      <c r="X741" t="s">
        <v>67</v>
      </c>
      <c r="Z741" t="s">
        <v>69</v>
      </c>
      <c r="AA741" t="s">
        <v>69</v>
      </c>
      <c r="AB741" t="s">
        <v>67</v>
      </c>
      <c r="AC741" t="s">
        <v>70</v>
      </c>
      <c r="AD741" t="s">
        <v>71</v>
      </c>
      <c r="AH741" t="b">
        <v>0</v>
      </c>
      <c r="AI741" t="b">
        <v>0</v>
      </c>
      <c r="AJ741" t="b">
        <v>0</v>
      </c>
      <c r="AK741" t="b">
        <v>0</v>
      </c>
      <c r="AL741" s="6"/>
      <c r="AM741" s="3">
        <v>46300.541666666657</v>
      </c>
      <c r="AN741">
        <v>0</v>
      </c>
      <c r="AO741" s="3"/>
      <c r="AT741" t="b">
        <v>0</v>
      </c>
      <c r="AU741" t="s">
        <v>74</v>
      </c>
      <c r="AV741" t="b">
        <v>0</v>
      </c>
      <c r="AW741" t="b">
        <v>0</v>
      </c>
      <c r="AX741" s="5"/>
      <c r="AY741" s="3"/>
      <c r="AZ741" t="s">
        <v>67</v>
      </c>
      <c r="BA741" t="s">
        <v>67</v>
      </c>
      <c r="BB741" t="s">
        <v>317</v>
      </c>
    </row>
    <row r="742" spans="1:54" ht="15" customHeight="1" x14ac:dyDescent="0.3">
      <c r="A742">
        <v>1</v>
      </c>
      <c r="B742">
        <v>15</v>
      </c>
      <c r="C742" t="s">
        <v>54</v>
      </c>
      <c r="D742" s="3">
        <v>46301.624930555598</v>
      </c>
      <c r="E742" s="4">
        <v>46301</v>
      </c>
      <c r="F742" t="s">
        <v>55</v>
      </c>
      <c r="G742" t="s">
        <v>56</v>
      </c>
      <c r="H742" t="s">
        <v>57</v>
      </c>
      <c r="I742" t="s">
        <v>58</v>
      </c>
      <c r="J742" t="s">
        <v>59</v>
      </c>
      <c r="K742" t="s">
        <v>60</v>
      </c>
      <c r="L742" t="s">
        <v>61</v>
      </c>
      <c r="M742" t="s">
        <v>62</v>
      </c>
      <c r="N742" t="s">
        <v>63</v>
      </c>
      <c r="O742" t="s">
        <v>64</v>
      </c>
      <c r="P742" t="s">
        <v>65</v>
      </c>
      <c r="Q742" s="5">
        <v>1</v>
      </c>
      <c r="R742" s="6">
        <v>237</v>
      </c>
      <c r="S742" s="6">
        <v>237</v>
      </c>
      <c r="T742" s="6">
        <v>157.5</v>
      </c>
      <c r="U742" s="3">
        <v>46316.333333333299</v>
      </c>
      <c r="W742" s="7" t="s">
        <v>66</v>
      </c>
      <c r="X742" t="s">
        <v>67</v>
      </c>
      <c r="Y742" t="s">
        <v>68</v>
      </c>
      <c r="Z742" t="s">
        <v>69</v>
      </c>
      <c r="AA742" t="s">
        <v>70</v>
      </c>
      <c r="AB742" t="s">
        <v>70</v>
      </c>
      <c r="AC742" t="s">
        <v>71</v>
      </c>
      <c r="AD742" t="s">
        <v>72</v>
      </c>
      <c r="AE742" t="s">
        <v>67</v>
      </c>
      <c r="AF742" t="s">
        <v>73</v>
      </c>
      <c r="AG742" t="b">
        <f>FALSE()</f>
        <v>0</v>
      </c>
      <c r="AH742" t="b">
        <f>FALSE()</f>
        <v>0</v>
      </c>
      <c r="AI742" t="b">
        <f>FALSE()</f>
        <v>0</v>
      </c>
      <c r="AJ742" t="b">
        <f>FALSE()</f>
        <v>0</v>
      </c>
      <c r="AK742" s="6">
        <v>157.5</v>
      </c>
      <c r="AL742" s="3">
        <v>46301.479166666701</v>
      </c>
      <c r="AM742">
        <v>1</v>
      </c>
      <c r="AS742" t="b">
        <f>FALSE()</f>
        <v>0</v>
      </c>
      <c r="AT742" t="s">
        <v>74</v>
      </c>
      <c r="AU742" t="b">
        <f>TRUE()</f>
        <v>1</v>
      </c>
      <c r="AV742" t="b">
        <f>FALSE()</f>
        <v>0</v>
      </c>
      <c r="AW742" s="5">
        <v>0</v>
      </c>
      <c r="AY742" t="str">
        <f t="shared" ref="AY742:AY773" si="0">IF(TRIM(Z742&amp;"")="","",TRIM(RIGHT(SUBSTITUTE(TRIM(Z742)," -&gt; ",REPT(" ",130)),130)))</f>
        <v>2.1.10</v>
      </c>
      <c r="AZ742" t="str">
        <f t="shared" ref="AZ742:AZ773" si="1">IF(TRIM(AP742&amp;"")="","",IF(ISNUMBER(SEARCH(" -&gt; LIBERADO PARA O FINANCEIRO -&gt; "," -&gt; "&amp;AP742&amp;" -&gt; ")),"SIM","NÃO"))</f>
        <v/>
      </c>
      <c r="BA742" t="str">
        <f t="shared" ref="BA742:BA773" si="2">IF(TRIM(AP742&amp;"")="","",IF(ISNUMBER(SEARCH(" -&gt; PAGO -&gt; "," -&gt; "&amp;AP742&amp;" -&gt; ")),"SIM","NÃO"))</f>
        <v/>
      </c>
      <c r="BB742" t="str">
        <f t="shared" ref="BB742:BB773" si="3">IF(TRIM(AP742&amp;"")="","SEM PRÓTESE",IF(BA742="SIM","PAGO",IF(AZ742="SIM","LIBERADO PARA O FINANCEIRO","OUTROS STATUS")))</f>
        <v>SEM PRÓTESE</v>
      </c>
    </row>
    <row r="743" spans="1:54" ht="15" customHeight="1" x14ac:dyDescent="0.3">
      <c r="A743">
        <v>1</v>
      </c>
      <c r="B743">
        <v>15</v>
      </c>
      <c r="C743" t="s">
        <v>54</v>
      </c>
      <c r="D743" s="3">
        <v>46301.624930555598</v>
      </c>
      <c r="E743" s="4">
        <v>46301</v>
      </c>
      <c r="F743" t="s">
        <v>55</v>
      </c>
      <c r="G743" t="s">
        <v>56</v>
      </c>
      <c r="H743" t="s">
        <v>57</v>
      </c>
      <c r="I743" t="s">
        <v>58</v>
      </c>
      <c r="J743" t="s">
        <v>59</v>
      </c>
      <c r="K743" t="s">
        <v>60</v>
      </c>
      <c r="L743" t="s">
        <v>61</v>
      </c>
      <c r="M743" t="s">
        <v>62</v>
      </c>
      <c r="N743" t="s">
        <v>63</v>
      </c>
      <c r="O743" t="s">
        <v>75</v>
      </c>
      <c r="P743" t="s">
        <v>76</v>
      </c>
      <c r="Q743" s="5">
        <v>2</v>
      </c>
      <c r="R743" s="6">
        <v>146.05000000000001</v>
      </c>
      <c r="S743" s="6">
        <v>292.10000000000002</v>
      </c>
      <c r="T743" s="6">
        <v>91.8</v>
      </c>
      <c r="U743" s="3">
        <v>46316.333333333299</v>
      </c>
      <c r="W743" s="7" t="s">
        <v>66</v>
      </c>
      <c r="X743" t="s">
        <v>67</v>
      </c>
      <c r="Y743" t="s">
        <v>68</v>
      </c>
      <c r="Z743" t="s">
        <v>69</v>
      </c>
      <c r="AA743" t="s">
        <v>70</v>
      </c>
      <c r="AB743" t="s">
        <v>70</v>
      </c>
      <c r="AC743" t="s">
        <v>71</v>
      </c>
      <c r="AD743" t="s">
        <v>77</v>
      </c>
      <c r="AE743" t="s">
        <v>67</v>
      </c>
      <c r="AF743" t="s">
        <v>78</v>
      </c>
      <c r="AG743" t="b">
        <f>FALSE()</f>
        <v>0</v>
      </c>
      <c r="AH743" t="b">
        <f>FALSE()</f>
        <v>0</v>
      </c>
      <c r="AI743" t="b">
        <f>FALSE()</f>
        <v>0</v>
      </c>
      <c r="AJ743" t="b">
        <f>FALSE()</f>
        <v>0</v>
      </c>
      <c r="AK743" s="6">
        <v>45.9</v>
      </c>
      <c r="AL743" s="3">
        <v>46301.479166666701</v>
      </c>
      <c r="AM743">
        <v>1</v>
      </c>
      <c r="AS743" t="b">
        <f>FALSE()</f>
        <v>0</v>
      </c>
      <c r="AT743" t="s">
        <v>74</v>
      </c>
      <c r="AU743" t="b">
        <f>TRUE()</f>
        <v>1</v>
      </c>
      <c r="AV743" t="b">
        <f>FALSE()</f>
        <v>0</v>
      </c>
      <c r="AW743" s="5">
        <v>0</v>
      </c>
      <c r="AY743" t="str">
        <f t="shared" si="0"/>
        <v>2.1.10</v>
      </c>
      <c r="AZ743" t="str">
        <f t="shared" si="1"/>
        <v/>
      </c>
      <c r="BA743" t="str">
        <f t="shared" si="2"/>
        <v/>
      </c>
      <c r="BB743" t="str">
        <f t="shared" si="3"/>
        <v>SEM PRÓTESE</v>
      </c>
    </row>
    <row r="744" spans="1:54" ht="15" customHeight="1" x14ac:dyDescent="0.3">
      <c r="A744">
        <v>1</v>
      </c>
      <c r="B744">
        <v>15</v>
      </c>
      <c r="C744" t="s">
        <v>54</v>
      </c>
      <c r="D744" s="3">
        <v>46301.624930555598</v>
      </c>
      <c r="E744" s="4">
        <v>46301</v>
      </c>
      <c r="F744" t="s">
        <v>55</v>
      </c>
      <c r="G744" t="s">
        <v>56</v>
      </c>
      <c r="H744" t="s">
        <v>57</v>
      </c>
      <c r="I744" t="s">
        <v>58</v>
      </c>
      <c r="J744" t="s">
        <v>59</v>
      </c>
      <c r="K744" t="s">
        <v>60</v>
      </c>
      <c r="L744" t="s">
        <v>61</v>
      </c>
      <c r="M744" t="s">
        <v>62</v>
      </c>
      <c r="N744" t="s">
        <v>63</v>
      </c>
      <c r="O744" t="s">
        <v>79</v>
      </c>
      <c r="P744" t="s">
        <v>80</v>
      </c>
      <c r="Q744" s="5">
        <v>2</v>
      </c>
      <c r="R744" s="6">
        <v>570</v>
      </c>
      <c r="S744" s="6">
        <v>1140</v>
      </c>
      <c r="T744" s="6">
        <v>400.5</v>
      </c>
      <c r="U744" s="3">
        <v>46316.333333333299</v>
      </c>
      <c r="W744" s="7" t="s">
        <v>66</v>
      </c>
      <c r="X744" t="s">
        <v>67</v>
      </c>
      <c r="Y744" t="s">
        <v>68</v>
      </c>
      <c r="Z744" t="s">
        <v>69</v>
      </c>
      <c r="AA744" t="s">
        <v>70</v>
      </c>
      <c r="AB744" t="s">
        <v>70</v>
      </c>
      <c r="AC744" t="s">
        <v>71</v>
      </c>
      <c r="AD744" t="s">
        <v>77</v>
      </c>
      <c r="AE744" t="s">
        <v>67</v>
      </c>
      <c r="AF744" t="s">
        <v>81</v>
      </c>
      <c r="AG744" t="b">
        <f>FALSE()</f>
        <v>0</v>
      </c>
      <c r="AH744" t="b">
        <f>FALSE()</f>
        <v>0</v>
      </c>
      <c r="AI744" t="b">
        <f>FALSE()</f>
        <v>0</v>
      </c>
      <c r="AJ744" t="b">
        <f>FALSE()</f>
        <v>0</v>
      </c>
      <c r="AK744" s="6">
        <v>200.25</v>
      </c>
      <c r="AL744" s="3">
        <v>46301.479166666701</v>
      </c>
      <c r="AM744">
        <v>1</v>
      </c>
      <c r="AS744" t="b">
        <f>FALSE()</f>
        <v>0</v>
      </c>
      <c r="AT744" t="s">
        <v>74</v>
      </c>
      <c r="AU744" t="b">
        <f>TRUE()</f>
        <v>1</v>
      </c>
      <c r="AV744" t="b">
        <f>FALSE()</f>
        <v>0</v>
      </c>
      <c r="AW744" s="5">
        <v>0</v>
      </c>
      <c r="AY744" t="str">
        <f t="shared" si="0"/>
        <v>2.1.10</v>
      </c>
      <c r="AZ744" t="str">
        <f t="shared" si="1"/>
        <v/>
      </c>
      <c r="BA744" t="str">
        <f t="shared" si="2"/>
        <v/>
      </c>
      <c r="BB744" t="str">
        <f t="shared" si="3"/>
        <v>SEM PRÓTESE</v>
      </c>
    </row>
    <row r="745" spans="1:54" ht="15" customHeight="1" x14ac:dyDescent="0.3">
      <c r="A745">
        <v>1</v>
      </c>
      <c r="B745">
        <v>15</v>
      </c>
      <c r="C745" t="s">
        <v>54</v>
      </c>
      <c r="D745" s="3">
        <v>46301.624930555598</v>
      </c>
      <c r="E745" s="4">
        <v>46301</v>
      </c>
      <c r="F745" t="s">
        <v>55</v>
      </c>
      <c r="G745" t="s">
        <v>56</v>
      </c>
      <c r="H745" t="s">
        <v>57</v>
      </c>
      <c r="I745" t="s">
        <v>58</v>
      </c>
      <c r="J745" t="s">
        <v>59</v>
      </c>
      <c r="K745" t="s">
        <v>60</v>
      </c>
      <c r="L745" t="s">
        <v>61</v>
      </c>
      <c r="M745" t="s">
        <v>62</v>
      </c>
      <c r="N745" t="s">
        <v>63</v>
      </c>
      <c r="O745" t="s">
        <v>82</v>
      </c>
      <c r="P745" t="s">
        <v>83</v>
      </c>
      <c r="Q745" s="5">
        <v>1</v>
      </c>
      <c r="R745" s="6">
        <v>140</v>
      </c>
      <c r="S745" s="6">
        <v>140</v>
      </c>
      <c r="T745" s="6">
        <v>93.1</v>
      </c>
      <c r="U745" s="3">
        <v>46316.333333333299</v>
      </c>
      <c r="W745" s="7" t="s">
        <v>66</v>
      </c>
      <c r="X745" t="s">
        <v>67</v>
      </c>
      <c r="Y745" t="s">
        <v>68</v>
      </c>
      <c r="Z745" t="s">
        <v>69</v>
      </c>
      <c r="AA745" t="s">
        <v>70</v>
      </c>
      <c r="AB745" t="s">
        <v>70</v>
      </c>
      <c r="AC745" t="s">
        <v>71</v>
      </c>
      <c r="AD745" t="s">
        <v>84</v>
      </c>
      <c r="AE745" t="s">
        <v>67</v>
      </c>
      <c r="AF745" t="s">
        <v>82</v>
      </c>
      <c r="AG745" t="b">
        <f>FALSE()</f>
        <v>0</v>
      </c>
      <c r="AH745" t="b">
        <f>FALSE()</f>
        <v>0</v>
      </c>
      <c r="AI745" t="b">
        <f>FALSE()</f>
        <v>0</v>
      </c>
      <c r="AJ745" t="b">
        <f>FALSE()</f>
        <v>0</v>
      </c>
      <c r="AK745" s="6">
        <v>93.1</v>
      </c>
      <c r="AL745" s="3">
        <v>46301.479166666701</v>
      </c>
      <c r="AM745">
        <v>1</v>
      </c>
      <c r="AS745" t="b">
        <f>FALSE()</f>
        <v>0</v>
      </c>
      <c r="AT745" t="s">
        <v>74</v>
      </c>
      <c r="AU745" t="b">
        <f>TRUE()</f>
        <v>1</v>
      </c>
      <c r="AV745" t="b">
        <f>FALSE()</f>
        <v>0</v>
      </c>
      <c r="AW745" s="5">
        <v>0</v>
      </c>
      <c r="AY745" t="str">
        <f t="shared" si="0"/>
        <v>2.1.10</v>
      </c>
      <c r="AZ745" t="str">
        <f t="shared" si="1"/>
        <v/>
      </c>
      <c r="BA745" t="str">
        <f t="shared" si="2"/>
        <v/>
      </c>
      <c r="BB745" t="str">
        <f t="shared" si="3"/>
        <v>SEM PRÓTESE</v>
      </c>
    </row>
    <row r="746" spans="1:54" ht="15" customHeight="1" x14ac:dyDescent="0.3">
      <c r="A746">
        <v>1</v>
      </c>
      <c r="B746">
        <v>15</v>
      </c>
      <c r="C746" t="s">
        <v>54</v>
      </c>
      <c r="D746" s="3">
        <v>46301.624930555598</v>
      </c>
      <c r="E746" s="4">
        <v>46301</v>
      </c>
      <c r="F746" t="s">
        <v>55</v>
      </c>
      <c r="G746" t="s">
        <v>56</v>
      </c>
      <c r="H746" t="s">
        <v>57</v>
      </c>
      <c r="I746" t="s">
        <v>58</v>
      </c>
      <c r="J746" t="s">
        <v>59</v>
      </c>
      <c r="K746" t="s">
        <v>60</v>
      </c>
      <c r="L746" t="s">
        <v>61</v>
      </c>
      <c r="M746" t="s">
        <v>62</v>
      </c>
      <c r="N746" t="s">
        <v>63</v>
      </c>
      <c r="O746" t="s">
        <v>85</v>
      </c>
      <c r="P746" t="s">
        <v>86</v>
      </c>
      <c r="Q746" s="5">
        <v>2</v>
      </c>
      <c r="R746" s="6">
        <v>33</v>
      </c>
      <c r="S746" s="6">
        <v>66</v>
      </c>
      <c r="T746" s="6">
        <v>23.4</v>
      </c>
      <c r="U746" s="3">
        <v>46316.333333333299</v>
      </c>
      <c r="W746" s="7" t="s">
        <v>66</v>
      </c>
      <c r="X746" t="s">
        <v>67</v>
      </c>
      <c r="Y746" t="s">
        <v>68</v>
      </c>
      <c r="Z746" t="s">
        <v>69</v>
      </c>
      <c r="AA746" t="s">
        <v>70</v>
      </c>
      <c r="AB746" t="s">
        <v>70</v>
      </c>
      <c r="AC746" t="s">
        <v>71</v>
      </c>
      <c r="AD746" t="s">
        <v>77</v>
      </c>
      <c r="AE746" t="s">
        <v>70</v>
      </c>
      <c r="AF746" t="s">
        <v>87</v>
      </c>
      <c r="AG746" t="b">
        <f>FALSE()</f>
        <v>0</v>
      </c>
      <c r="AH746" t="b">
        <f>FALSE()</f>
        <v>0</v>
      </c>
      <c r="AI746" t="b">
        <f>FALSE()</f>
        <v>0</v>
      </c>
      <c r="AJ746" t="b">
        <f>FALSE()</f>
        <v>0</v>
      </c>
      <c r="AK746" s="6">
        <v>11.7</v>
      </c>
      <c r="AL746" s="3">
        <v>46301.479166666701</v>
      </c>
      <c r="AM746">
        <v>1</v>
      </c>
      <c r="AS746" t="b">
        <f>FALSE()</f>
        <v>0</v>
      </c>
      <c r="AT746" t="s">
        <v>74</v>
      </c>
      <c r="AU746" t="b">
        <f>TRUE()</f>
        <v>1</v>
      </c>
      <c r="AV746" t="b">
        <f>FALSE()</f>
        <v>0</v>
      </c>
      <c r="AW746" s="5">
        <v>0</v>
      </c>
      <c r="AY746" t="str">
        <f t="shared" si="0"/>
        <v>2.1.10</v>
      </c>
      <c r="AZ746" t="str">
        <f t="shared" si="1"/>
        <v/>
      </c>
      <c r="BA746" t="str">
        <f t="shared" si="2"/>
        <v/>
      </c>
      <c r="BB746" t="str">
        <f t="shared" si="3"/>
        <v>SEM PRÓTESE</v>
      </c>
    </row>
    <row r="747" spans="1:54" ht="15" customHeight="1" x14ac:dyDescent="0.3">
      <c r="A747">
        <v>1</v>
      </c>
      <c r="B747">
        <v>15</v>
      </c>
      <c r="C747" t="s">
        <v>54</v>
      </c>
      <c r="D747" s="3">
        <v>46301.624930555598</v>
      </c>
      <c r="E747" s="4">
        <v>46301</v>
      </c>
      <c r="F747" t="s">
        <v>55</v>
      </c>
      <c r="G747" t="s">
        <v>56</v>
      </c>
      <c r="H747" t="s">
        <v>57</v>
      </c>
      <c r="I747" t="s">
        <v>58</v>
      </c>
      <c r="J747" t="s">
        <v>59</v>
      </c>
      <c r="K747" t="s">
        <v>60</v>
      </c>
      <c r="L747" t="s">
        <v>61</v>
      </c>
      <c r="M747" t="s">
        <v>62</v>
      </c>
      <c r="N747" t="s">
        <v>63</v>
      </c>
      <c r="O747" t="s">
        <v>88</v>
      </c>
      <c r="P747" t="s">
        <v>89</v>
      </c>
      <c r="Q747" s="5">
        <v>2</v>
      </c>
      <c r="R747" s="6">
        <v>357.2</v>
      </c>
      <c r="S747" s="6">
        <v>714.4</v>
      </c>
      <c r="T747" s="6">
        <v>225.9</v>
      </c>
      <c r="U747" s="3">
        <v>46316.333333333299</v>
      </c>
      <c r="W747" s="7" t="s">
        <v>66</v>
      </c>
      <c r="X747" t="s">
        <v>67</v>
      </c>
      <c r="Y747" t="s">
        <v>68</v>
      </c>
      <c r="Z747" t="s">
        <v>69</v>
      </c>
      <c r="AA747" t="s">
        <v>70</v>
      </c>
      <c r="AB747" t="s">
        <v>70</v>
      </c>
      <c r="AC747" t="s">
        <v>71</v>
      </c>
      <c r="AD747" t="s">
        <v>77</v>
      </c>
      <c r="AE747" t="s">
        <v>67</v>
      </c>
      <c r="AF747" t="s">
        <v>90</v>
      </c>
      <c r="AG747" t="b">
        <f>FALSE()</f>
        <v>0</v>
      </c>
      <c r="AH747" t="b">
        <f>FALSE()</f>
        <v>0</v>
      </c>
      <c r="AI747" t="b">
        <f>FALSE()</f>
        <v>0</v>
      </c>
      <c r="AJ747" t="b">
        <f>FALSE()</f>
        <v>0</v>
      </c>
      <c r="AK747" s="6">
        <v>112.95</v>
      </c>
      <c r="AL747" s="3">
        <v>46301.479166666701</v>
      </c>
      <c r="AM747">
        <v>1</v>
      </c>
      <c r="AS747" t="b">
        <f>FALSE()</f>
        <v>0</v>
      </c>
      <c r="AT747" t="s">
        <v>74</v>
      </c>
      <c r="AU747" t="b">
        <f>TRUE()</f>
        <v>1</v>
      </c>
      <c r="AV747" t="b">
        <f>FALSE()</f>
        <v>0</v>
      </c>
      <c r="AW747" s="5">
        <v>0</v>
      </c>
      <c r="AY747" t="str">
        <f t="shared" si="0"/>
        <v>2.1.10</v>
      </c>
      <c r="AZ747" t="str">
        <f t="shared" si="1"/>
        <v/>
      </c>
      <c r="BA747" t="str">
        <f t="shared" si="2"/>
        <v/>
      </c>
      <c r="BB747" t="str">
        <f t="shared" si="3"/>
        <v>SEM PRÓTESE</v>
      </c>
    </row>
    <row r="748" spans="1:54" ht="15" customHeight="1" x14ac:dyDescent="0.3">
      <c r="A748">
        <v>1</v>
      </c>
      <c r="B748">
        <v>15</v>
      </c>
      <c r="C748" t="s">
        <v>54</v>
      </c>
      <c r="D748" s="3">
        <v>46302.606828703698</v>
      </c>
      <c r="E748" s="4">
        <v>46302</v>
      </c>
      <c r="F748" t="s">
        <v>91</v>
      </c>
      <c r="G748" t="s">
        <v>56</v>
      </c>
      <c r="H748" t="s">
        <v>92</v>
      </c>
      <c r="I748" t="s">
        <v>93</v>
      </c>
      <c r="J748" t="s">
        <v>94</v>
      </c>
      <c r="K748" t="s">
        <v>95</v>
      </c>
      <c r="L748" t="s">
        <v>96</v>
      </c>
      <c r="M748" t="s">
        <v>97</v>
      </c>
      <c r="N748" t="s">
        <v>97</v>
      </c>
      <c r="O748" t="s">
        <v>98</v>
      </c>
      <c r="P748" t="s">
        <v>99</v>
      </c>
      <c r="Q748" s="5">
        <v>1</v>
      </c>
      <c r="R748" s="6">
        <v>736</v>
      </c>
      <c r="S748" s="6">
        <v>736</v>
      </c>
      <c r="T748" s="6">
        <v>460</v>
      </c>
      <c r="U748" s="3">
        <v>46302.458333333299</v>
      </c>
      <c r="W748" s="7" t="s">
        <v>100</v>
      </c>
      <c r="X748" t="s">
        <v>70</v>
      </c>
      <c r="Y748" t="s">
        <v>23</v>
      </c>
      <c r="Z748" t="s">
        <v>69</v>
      </c>
      <c r="AA748" t="s">
        <v>67</v>
      </c>
      <c r="AB748" t="s">
        <v>70</v>
      </c>
      <c r="AC748" t="s">
        <v>101</v>
      </c>
      <c r="AD748" t="s">
        <v>102</v>
      </c>
      <c r="AE748" t="s">
        <v>67</v>
      </c>
      <c r="AG748" t="b">
        <f>FALSE()</f>
        <v>0</v>
      </c>
      <c r="AH748" t="b">
        <f>FALSE()</f>
        <v>0</v>
      </c>
      <c r="AI748" t="b">
        <f>FALSE()</f>
        <v>0</v>
      </c>
      <c r="AJ748" t="b">
        <f>FALSE()</f>
        <v>0</v>
      </c>
      <c r="AK748" s="6">
        <v>460</v>
      </c>
      <c r="AL748" s="3">
        <v>46302.458333333299</v>
      </c>
      <c r="AM748">
        <v>1</v>
      </c>
      <c r="AS748" t="b">
        <f>FALSE()</f>
        <v>0</v>
      </c>
      <c r="AT748" t="s">
        <v>74</v>
      </c>
      <c r="AU748" t="b">
        <f>TRUE()</f>
        <v>1</v>
      </c>
      <c r="AV748" t="b">
        <f>FALSE()</f>
        <v>0</v>
      </c>
      <c r="AW748" s="5">
        <v>0</v>
      </c>
      <c r="AY748" t="str">
        <f t="shared" si="0"/>
        <v>2.1.10</v>
      </c>
      <c r="AZ748" t="str">
        <f t="shared" si="1"/>
        <v/>
      </c>
      <c r="BA748" t="str">
        <f t="shared" si="2"/>
        <v/>
      </c>
      <c r="BB748" t="str">
        <f t="shared" si="3"/>
        <v>SEM PRÓTESE</v>
      </c>
    </row>
    <row r="749" spans="1:54" ht="15" customHeight="1" x14ac:dyDescent="0.3">
      <c r="A749">
        <v>1</v>
      </c>
      <c r="B749">
        <v>15</v>
      </c>
      <c r="C749" t="s">
        <v>54</v>
      </c>
      <c r="D749" s="3">
        <v>46301.4933101852</v>
      </c>
      <c r="E749" s="4">
        <v>46301</v>
      </c>
      <c r="F749" t="s">
        <v>103</v>
      </c>
      <c r="G749" t="s">
        <v>56</v>
      </c>
      <c r="H749" t="s">
        <v>104</v>
      </c>
      <c r="I749" t="s">
        <v>105</v>
      </c>
      <c r="J749" t="s">
        <v>59</v>
      </c>
      <c r="L749" t="s">
        <v>106</v>
      </c>
      <c r="M749" t="s">
        <v>62</v>
      </c>
      <c r="O749" t="s">
        <v>107</v>
      </c>
      <c r="P749" t="s">
        <v>108</v>
      </c>
      <c r="Q749" s="5">
        <v>4</v>
      </c>
      <c r="R749" s="6">
        <v>61</v>
      </c>
      <c r="S749" s="6">
        <v>244</v>
      </c>
      <c r="T749" s="6">
        <v>87.6</v>
      </c>
      <c r="U749" s="3">
        <v>46301.263888888898</v>
      </c>
      <c r="W749" s="7" t="s">
        <v>109</v>
      </c>
      <c r="X749" t="s">
        <v>70</v>
      </c>
      <c r="Y749" t="s">
        <v>68</v>
      </c>
      <c r="Z749" t="s">
        <v>69</v>
      </c>
      <c r="AA749" t="s">
        <v>67</v>
      </c>
      <c r="AB749" t="s">
        <v>70</v>
      </c>
      <c r="AC749" t="s">
        <v>71</v>
      </c>
      <c r="AD749" t="s">
        <v>110</v>
      </c>
      <c r="AE749" t="s">
        <v>67</v>
      </c>
      <c r="AF749" t="s">
        <v>111</v>
      </c>
      <c r="AG749" t="b">
        <f>FALSE()</f>
        <v>0</v>
      </c>
      <c r="AH749" t="b">
        <f>FALSE()</f>
        <v>0</v>
      </c>
      <c r="AI749" t="b">
        <f>FALSE()</f>
        <v>0</v>
      </c>
      <c r="AJ749" t="b">
        <f>FALSE()</f>
        <v>0</v>
      </c>
      <c r="AK749" s="6">
        <v>21.9</v>
      </c>
      <c r="AL749" s="3">
        <v>46301.263888888898</v>
      </c>
      <c r="AM749">
        <v>1</v>
      </c>
      <c r="AO749" t="s">
        <v>112</v>
      </c>
      <c r="AP749" t="s">
        <v>112</v>
      </c>
      <c r="AQ749" t="s">
        <v>113</v>
      </c>
      <c r="AR749">
        <v>1</v>
      </c>
      <c r="AS749" t="b">
        <f>FALSE()</f>
        <v>0</v>
      </c>
      <c r="AT749" t="s">
        <v>114</v>
      </c>
      <c r="AU749" t="b">
        <f>TRUE()</f>
        <v>1</v>
      </c>
      <c r="AV749" t="b">
        <f>FALSE()</f>
        <v>0</v>
      </c>
      <c r="AW749" s="5">
        <v>0</v>
      </c>
      <c r="AY749" t="str">
        <f t="shared" si="0"/>
        <v>2.1.10</v>
      </c>
      <c r="AZ749" t="str">
        <f t="shared" si="1"/>
        <v>NÃO</v>
      </c>
      <c r="BA749" t="str">
        <f t="shared" si="2"/>
        <v>NÃO</v>
      </c>
      <c r="BB749" t="str">
        <f t="shared" si="3"/>
        <v>OUTROS STATUS</v>
      </c>
    </row>
    <row r="750" spans="1:54" ht="15" customHeight="1" x14ac:dyDescent="0.3">
      <c r="A750">
        <v>1</v>
      </c>
      <c r="B750">
        <v>15</v>
      </c>
      <c r="C750" t="s">
        <v>54</v>
      </c>
      <c r="D750" s="3">
        <v>46301.4933101852</v>
      </c>
      <c r="E750" s="4">
        <v>46301</v>
      </c>
      <c r="F750" t="s">
        <v>103</v>
      </c>
      <c r="G750" t="s">
        <v>56</v>
      </c>
      <c r="H750" t="s">
        <v>104</v>
      </c>
      <c r="I750" t="s">
        <v>105</v>
      </c>
      <c r="J750" t="s">
        <v>59</v>
      </c>
      <c r="L750" t="s">
        <v>106</v>
      </c>
      <c r="M750" t="s">
        <v>62</v>
      </c>
      <c r="O750" t="s">
        <v>115</v>
      </c>
      <c r="P750" t="s">
        <v>116</v>
      </c>
      <c r="Q750" s="5">
        <v>5</v>
      </c>
      <c r="R750" s="6">
        <v>64</v>
      </c>
      <c r="S750" s="6">
        <v>320</v>
      </c>
      <c r="T750" s="6">
        <v>116.25</v>
      </c>
      <c r="U750" s="3">
        <v>46301.263888888898</v>
      </c>
      <c r="W750" s="7" t="s">
        <v>109</v>
      </c>
      <c r="X750" t="s">
        <v>70</v>
      </c>
      <c r="Y750" t="s">
        <v>68</v>
      </c>
      <c r="Z750" t="s">
        <v>69</v>
      </c>
      <c r="AA750" t="s">
        <v>67</v>
      </c>
      <c r="AB750" t="s">
        <v>70</v>
      </c>
      <c r="AC750" t="s">
        <v>71</v>
      </c>
      <c r="AD750" t="s">
        <v>110</v>
      </c>
      <c r="AE750" t="s">
        <v>67</v>
      </c>
      <c r="AF750" t="s">
        <v>117</v>
      </c>
      <c r="AG750" t="b">
        <f>FALSE()</f>
        <v>0</v>
      </c>
      <c r="AH750" t="b">
        <f>FALSE()</f>
        <v>0</v>
      </c>
      <c r="AI750" t="b">
        <f>FALSE()</f>
        <v>0</v>
      </c>
      <c r="AJ750" t="b">
        <f>FALSE()</f>
        <v>0</v>
      </c>
      <c r="AK750" s="6">
        <v>23.25</v>
      </c>
      <c r="AL750" s="3">
        <v>46301.263888888898</v>
      </c>
      <c r="AM750">
        <v>1</v>
      </c>
      <c r="AO750" t="s">
        <v>112</v>
      </c>
      <c r="AP750" t="s">
        <v>112</v>
      </c>
      <c r="AQ750" t="s">
        <v>113</v>
      </c>
      <c r="AR750">
        <v>1</v>
      </c>
      <c r="AS750" t="b">
        <f>FALSE()</f>
        <v>0</v>
      </c>
      <c r="AT750" t="s">
        <v>114</v>
      </c>
      <c r="AU750" t="b">
        <f>TRUE()</f>
        <v>1</v>
      </c>
      <c r="AV750" t="b">
        <f>FALSE()</f>
        <v>0</v>
      </c>
      <c r="AW750" s="5">
        <v>0</v>
      </c>
      <c r="AY750" t="str">
        <f t="shared" si="0"/>
        <v>2.1.10</v>
      </c>
      <c r="AZ750" t="str">
        <f t="shared" si="1"/>
        <v>NÃO</v>
      </c>
      <c r="BA750" t="str">
        <f t="shared" si="2"/>
        <v>NÃO</v>
      </c>
      <c r="BB750" t="str">
        <f t="shared" si="3"/>
        <v>OUTROS STATUS</v>
      </c>
    </row>
    <row r="751" spans="1:54" ht="15" customHeight="1" x14ac:dyDescent="0.3">
      <c r="A751">
        <v>1</v>
      </c>
      <c r="B751">
        <v>15</v>
      </c>
      <c r="C751" t="s">
        <v>54</v>
      </c>
      <c r="D751" s="3">
        <v>46301.4933101852</v>
      </c>
      <c r="E751" s="4">
        <v>46301</v>
      </c>
      <c r="F751" t="s">
        <v>103</v>
      </c>
      <c r="G751" t="s">
        <v>56</v>
      </c>
      <c r="H751" t="s">
        <v>104</v>
      </c>
      <c r="I751" t="s">
        <v>105</v>
      </c>
      <c r="J751" t="s">
        <v>59</v>
      </c>
      <c r="L751" t="s">
        <v>106</v>
      </c>
      <c r="M751" t="s">
        <v>62</v>
      </c>
      <c r="O751" t="s">
        <v>118</v>
      </c>
      <c r="P751" t="s">
        <v>119</v>
      </c>
      <c r="Q751" s="5">
        <v>4</v>
      </c>
      <c r="R751" s="6">
        <v>64</v>
      </c>
      <c r="S751" s="6">
        <v>256</v>
      </c>
      <c r="T751" s="6">
        <v>93</v>
      </c>
      <c r="U751" s="3">
        <v>46301.263888888898</v>
      </c>
      <c r="W751" s="7" t="s">
        <v>109</v>
      </c>
      <c r="X751" t="s">
        <v>70</v>
      </c>
      <c r="Y751" t="s">
        <v>68</v>
      </c>
      <c r="Z751" t="s">
        <v>69</v>
      </c>
      <c r="AA751" t="s">
        <v>67</v>
      </c>
      <c r="AB751" t="s">
        <v>70</v>
      </c>
      <c r="AC751" t="s">
        <v>71</v>
      </c>
      <c r="AD751" t="s">
        <v>110</v>
      </c>
      <c r="AE751" t="s">
        <v>67</v>
      </c>
      <c r="AF751" t="s">
        <v>120</v>
      </c>
      <c r="AG751" t="b">
        <f>FALSE()</f>
        <v>0</v>
      </c>
      <c r="AH751" t="b">
        <f>FALSE()</f>
        <v>0</v>
      </c>
      <c r="AI751" t="b">
        <f>FALSE()</f>
        <v>0</v>
      </c>
      <c r="AJ751" t="b">
        <f>FALSE()</f>
        <v>0</v>
      </c>
      <c r="AK751" s="6">
        <v>23.25</v>
      </c>
      <c r="AL751" s="3">
        <v>46301.263888888898</v>
      </c>
      <c r="AM751">
        <v>1</v>
      </c>
      <c r="AO751" t="s">
        <v>112</v>
      </c>
      <c r="AP751" t="s">
        <v>112</v>
      </c>
      <c r="AQ751" t="s">
        <v>113</v>
      </c>
      <c r="AR751">
        <v>1</v>
      </c>
      <c r="AS751" t="b">
        <f>FALSE()</f>
        <v>0</v>
      </c>
      <c r="AT751" t="s">
        <v>114</v>
      </c>
      <c r="AU751" t="b">
        <f>TRUE()</f>
        <v>1</v>
      </c>
      <c r="AV751" t="b">
        <f>FALSE()</f>
        <v>0</v>
      </c>
      <c r="AW751" s="5">
        <v>0</v>
      </c>
      <c r="AY751" t="str">
        <f t="shared" si="0"/>
        <v>2.1.10</v>
      </c>
      <c r="AZ751" t="str">
        <f t="shared" si="1"/>
        <v>NÃO</v>
      </c>
      <c r="BA751" t="str">
        <f t="shared" si="2"/>
        <v>NÃO</v>
      </c>
      <c r="BB751" t="str">
        <f t="shared" si="3"/>
        <v>OUTROS STATUS</v>
      </c>
    </row>
    <row r="752" spans="1:54" ht="15" customHeight="1" x14ac:dyDescent="0.3">
      <c r="A752">
        <v>1</v>
      </c>
      <c r="B752">
        <v>15</v>
      </c>
      <c r="C752" t="s">
        <v>54</v>
      </c>
      <c r="D752" s="3">
        <v>46301.4933101852</v>
      </c>
      <c r="E752" s="4">
        <v>46301</v>
      </c>
      <c r="F752" t="s">
        <v>103</v>
      </c>
      <c r="G752" t="s">
        <v>56</v>
      </c>
      <c r="H752" t="s">
        <v>104</v>
      </c>
      <c r="I752" t="s">
        <v>105</v>
      </c>
      <c r="J752" t="s">
        <v>59</v>
      </c>
      <c r="L752" t="s">
        <v>106</v>
      </c>
      <c r="M752" t="s">
        <v>62</v>
      </c>
      <c r="O752" t="s">
        <v>121</v>
      </c>
      <c r="P752" t="s">
        <v>122</v>
      </c>
      <c r="Q752" s="5">
        <v>2</v>
      </c>
      <c r="R752" s="6">
        <v>320</v>
      </c>
      <c r="S752" s="6">
        <v>640</v>
      </c>
      <c r="T752" s="6">
        <v>400</v>
      </c>
      <c r="U752" s="3">
        <v>46301.263888888898</v>
      </c>
      <c r="W752" s="7" t="s">
        <v>109</v>
      </c>
      <c r="X752" t="s">
        <v>70</v>
      </c>
      <c r="Y752" t="s">
        <v>23</v>
      </c>
      <c r="Z752" t="s">
        <v>69</v>
      </c>
      <c r="AA752" t="s">
        <v>67</v>
      </c>
      <c r="AB752" t="s">
        <v>70</v>
      </c>
      <c r="AC752" t="s">
        <v>71</v>
      </c>
      <c r="AE752" t="s">
        <v>67</v>
      </c>
      <c r="AG752" t="b">
        <f>FALSE()</f>
        <v>0</v>
      </c>
      <c r="AH752" t="b">
        <f>FALSE()</f>
        <v>0</v>
      </c>
      <c r="AI752" t="b">
        <f>FALSE()</f>
        <v>0</v>
      </c>
      <c r="AJ752" t="b">
        <f>FALSE()</f>
        <v>0</v>
      </c>
      <c r="AK752" s="6">
        <v>200</v>
      </c>
      <c r="AL752" s="3">
        <v>46301.263888888898</v>
      </c>
      <c r="AM752">
        <v>1</v>
      </c>
      <c r="AO752" t="s">
        <v>112</v>
      </c>
      <c r="AP752" t="s">
        <v>112</v>
      </c>
      <c r="AQ752" t="s">
        <v>113</v>
      </c>
      <c r="AR752">
        <v>1</v>
      </c>
      <c r="AS752" t="b">
        <f>FALSE()</f>
        <v>0</v>
      </c>
      <c r="AT752" t="s">
        <v>114</v>
      </c>
      <c r="AU752" t="b">
        <f>TRUE()</f>
        <v>1</v>
      </c>
      <c r="AV752" t="b">
        <f>FALSE()</f>
        <v>0</v>
      </c>
      <c r="AW752" s="5">
        <v>0</v>
      </c>
      <c r="AY752" t="str">
        <f t="shared" si="0"/>
        <v>2.1.10</v>
      </c>
      <c r="AZ752" t="str">
        <f t="shared" si="1"/>
        <v>NÃO</v>
      </c>
      <c r="BA752" t="str">
        <f t="shared" si="2"/>
        <v>NÃO</v>
      </c>
      <c r="BB752" t="str">
        <f t="shared" si="3"/>
        <v>OUTROS STATUS</v>
      </c>
    </row>
    <row r="753" spans="1:54" ht="15" customHeight="1" x14ac:dyDescent="0.3">
      <c r="A753">
        <v>1</v>
      </c>
      <c r="B753">
        <v>15</v>
      </c>
      <c r="C753" t="s">
        <v>54</v>
      </c>
      <c r="D753" s="3">
        <v>46301.4933101852</v>
      </c>
      <c r="E753" s="4">
        <v>46301</v>
      </c>
      <c r="F753" t="s">
        <v>103</v>
      </c>
      <c r="G753" t="s">
        <v>56</v>
      </c>
      <c r="H753" t="s">
        <v>104</v>
      </c>
      <c r="I753" t="s">
        <v>105</v>
      </c>
      <c r="J753" t="s">
        <v>59</v>
      </c>
      <c r="L753" t="s">
        <v>106</v>
      </c>
      <c r="M753" t="s">
        <v>62</v>
      </c>
      <c r="O753" t="s">
        <v>123</v>
      </c>
      <c r="P753" t="s">
        <v>124</v>
      </c>
      <c r="Q753" s="5">
        <v>3</v>
      </c>
      <c r="R753" s="6">
        <v>520</v>
      </c>
      <c r="S753" s="6">
        <v>1560</v>
      </c>
      <c r="T753" s="6">
        <v>304.70999999999998</v>
      </c>
      <c r="U753" s="3">
        <v>46301.263888888898</v>
      </c>
      <c r="W753" s="7" t="s">
        <v>109</v>
      </c>
      <c r="X753" t="s">
        <v>70</v>
      </c>
      <c r="Y753" t="s">
        <v>68</v>
      </c>
      <c r="Z753" t="s">
        <v>69</v>
      </c>
      <c r="AA753" t="s">
        <v>67</v>
      </c>
      <c r="AB753" t="s">
        <v>70</v>
      </c>
      <c r="AC753" t="s">
        <v>71</v>
      </c>
      <c r="AD753" t="s">
        <v>110</v>
      </c>
      <c r="AE753" t="s">
        <v>67</v>
      </c>
      <c r="AF753" t="s">
        <v>125</v>
      </c>
      <c r="AG753" t="b">
        <f>FALSE()</f>
        <v>0</v>
      </c>
      <c r="AH753" t="b">
        <f>FALSE()</f>
        <v>0</v>
      </c>
      <c r="AI753" t="b">
        <f>FALSE()</f>
        <v>0</v>
      </c>
      <c r="AJ753" t="b">
        <f>FALSE()</f>
        <v>0</v>
      </c>
      <c r="AK753" s="6">
        <v>101.57</v>
      </c>
      <c r="AL753" s="3">
        <v>46301.263888888898</v>
      </c>
      <c r="AM753">
        <v>1</v>
      </c>
      <c r="AO753" t="s">
        <v>112</v>
      </c>
      <c r="AP753" t="s">
        <v>112</v>
      </c>
      <c r="AQ753" t="s">
        <v>113</v>
      </c>
      <c r="AR753">
        <v>1</v>
      </c>
      <c r="AS753" t="b">
        <f>FALSE()</f>
        <v>0</v>
      </c>
      <c r="AT753" t="s">
        <v>114</v>
      </c>
      <c r="AU753" t="b">
        <f>TRUE()</f>
        <v>1</v>
      </c>
      <c r="AV753" t="b">
        <f>FALSE()</f>
        <v>0</v>
      </c>
      <c r="AW753" s="5">
        <v>0</v>
      </c>
      <c r="AY753" t="str">
        <f t="shared" si="0"/>
        <v>2.1.10</v>
      </c>
      <c r="AZ753" t="str">
        <f t="shared" si="1"/>
        <v>NÃO</v>
      </c>
      <c r="BA753" t="str">
        <f t="shared" si="2"/>
        <v>NÃO</v>
      </c>
      <c r="BB753" t="str">
        <f t="shared" si="3"/>
        <v>OUTROS STATUS</v>
      </c>
    </row>
    <row r="754" spans="1:54" ht="15" customHeight="1" x14ac:dyDescent="0.3">
      <c r="A754">
        <v>1</v>
      </c>
      <c r="B754">
        <v>15</v>
      </c>
      <c r="C754" t="s">
        <v>54</v>
      </c>
      <c r="D754" s="3">
        <v>46301.4933101852</v>
      </c>
      <c r="E754" s="4">
        <v>46301</v>
      </c>
      <c r="F754" t="s">
        <v>103</v>
      </c>
      <c r="G754" t="s">
        <v>56</v>
      </c>
      <c r="H754" t="s">
        <v>104</v>
      </c>
      <c r="I754" t="s">
        <v>105</v>
      </c>
      <c r="J754" t="s">
        <v>59</v>
      </c>
      <c r="L754" t="s">
        <v>106</v>
      </c>
      <c r="M754" t="s">
        <v>62</v>
      </c>
      <c r="O754" t="s">
        <v>126</v>
      </c>
      <c r="P754" t="s">
        <v>127</v>
      </c>
      <c r="Q754" s="5">
        <v>1</v>
      </c>
      <c r="R754" s="6">
        <v>520</v>
      </c>
      <c r="S754" s="6">
        <v>520</v>
      </c>
      <c r="T754" s="6">
        <v>101.57</v>
      </c>
      <c r="U754" s="3">
        <v>46301.263888888898</v>
      </c>
      <c r="W754" s="7" t="s">
        <v>109</v>
      </c>
      <c r="X754" t="s">
        <v>70</v>
      </c>
      <c r="Y754" t="s">
        <v>68</v>
      </c>
      <c r="Z754" t="s">
        <v>69</v>
      </c>
      <c r="AA754" t="s">
        <v>67</v>
      </c>
      <c r="AB754" t="s">
        <v>70</v>
      </c>
      <c r="AC754" t="s">
        <v>71</v>
      </c>
      <c r="AD754" t="s">
        <v>110</v>
      </c>
      <c r="AE754" t="s">
        <v>67</v>
      </c>
      <c r="AF754" t="s">
        <v>128</v>
      </c>
      <c r="AG754" t="b">
        <f>FALSE()</f>
        <v>0</v>
      </c>
      <c r="AH754" t="b">
        <f>FALSE()</f>
        <v>0</v>
      </c>
      <c r="AI754" t="b">
        <f>FALSE()</f>
        <v>0</v>
      </c>
      <c r="AJ754" t="b">
        <f>FALSE()</f>
        <v>0</v>
      </c>
      <c r="AK754" s="6">
        <v>101.57</v>
      </c>
      <c r="AL754" s="3">
        <v>46301.263888888898</v>
      </c>
      <c r="AM754">
        <v>1</v>
      </c>
      <c r="AO754" t="s">
        <v>112</v>
      </c>
      <c r="AP754" t="s">
        <v>112</v>
      </c>
      <c r="AQ754" t="s">
        <v>113</v>
      </c>
      <c r="AR754">
        <v>1</v>
      </c>
      <c r="AS754" t="b">
        <f>FALSE()</f>
        <v>0</v>
      </c>
      <c r="AT754" t="s">
        <v>114</v>
      </c>
      <c r="AU754" t="b">
        <f>TRUE()</f>
        <v>1</v>
      </c>
      <c r="AV754" t="b">
        <f>FALSE()</f>
        <v>0</v>
      </c>
      <c r="AW754" s="5">
        <v>0</v>
      </c>
      <c r="AY754" t="str">
        <f t="shared" si="0"/>
        <v>2.1.10</v>
      </c>
      <c r="AZ754" t="str">
        <f t="shared" si="1"/>
        <v>NÃO</v>
      </c>
      <c r="BA754" t="str">
        <f t="shared" si="2"/>
        <v>NÃO</v>
      </c>
      <c r="BB754" t="str">
        <f t="shared" si="3"/>
        <v>OUTROS STATUS</v>
      </c>
    </row>
    <row r="755" spans="1:54" ht="15" customHeight="1" x14ac:dyDescent="0.3">
      <c r="A755">
        <v>1</v>
      </c>
      <c r="B755">
        <v>15</v>
      </c>
      <c r="C755" t="s">
        <v>54</v>
      </c>
      <c r="D755" s="3">
        <v>46301.4933101852</v>
      </c>
      <c r="E755" s="4">
        <v>46301</v>
      </c>
      <c r="F755" t="s">
        <v>103</v>
      </c>
      <c r="G755" t="s">
        <v>56</v>
      </c>
      <c r="H755" t="s">
        <v>104</v>
      </c>
      <c r="I755" t="s">
        <v>105</v>
      </c>
      <c r="J755" t="s">
        <v>59</v>
      </c>
      <c r="L755" t="s">
        <v>106</v>
      </c>
      <c r="M755" t="s">
        <v>62</v>
      </c>
      <c r="O755" t="s">
        <v>129</v>
      </c>
      <c r="P755" t="s">
        <v>130</v>
      </c>
      <c r="Q755" s="5">
        <v>4</v>
      </c>
      <c r="R755" s="6">
        <v>520</v>
      </c>
      <c r="S755" s="6">
        <v>2080</v>
      </c>
      <c r="T755" s="6">
        <v>406.28</v>
      </c>
      <c r="U755" s="3">
        <v>46301.263888888898</v>
      </c>
      <c r="W755" s="7" t="s">
        <v>109</v>
      </c>
      <c r="X755" t="s">
        <v>70</v>
      </c>
      <c r="Y755" t="s">
        <v>68</v>
      </c>
      <c r="Z755" t="s">
        <v>69</v>
      </c>
      <c r="AA755" t="s">
        <v>67</v>
      </c>
      <c r="AB755" t="s">
        <v>70</v>
      </c>
      <c r="AC755" t="s">
        <v>71</v>
      </c>
      <c r="AD755" t="s">
        <v>110</v>
      </c>
      <c r="AE755" t="s">
        <v>67</v>
      </c>
      <c r="AF755" t="s">
        <v>131</v>
      </c>
      <c r="AG755" t="b">
        <f>FALSE()</f>
        <v>0</v>
      </c>
      <c r="AH755" t="b">
        <f>FALSE()</f>
        <v>0</v>
      </c>
      <c r="AI755" t="b">
        <f>FALSE()</f>
        <v>0</v>
      </c>
      <c r="AJ755" t="b">
        <f>FALSE()</f>
        <v>0</v>
      </c>
      <c r="AK755" s="6">
        <v>101.57</v>
      </c>
      <c r="AL755" s="3">
        <v>46301.263888888898</v>
      </c>
      <c r="AM755">
        <v>1</v>
      </c>
      <c r="AO755" t="s">
        <v>112</v>
      </c>
      <c r="AP755" t="s">
        <v>112</v>
      </c>
      <c r="AQ755" t="s">
        <v>113</v>
      </c>
      <c r="AR755">
        <v>1</v>
      </c>
      <c r="AS755" t="b">
        <f>FALSE()</f>
        <v>0</v>
      </c>
      <c r="AT755" t="s">
        <v>114</v>
      </c>
      <c r="AU755" t="b">
        <f>TRUE()</f>
        <v>1</v>
      </c>
      <c r="AV755" t="b">
        <f>FALSE()</f>
        <v>0</v>
      </c>
      <c r="AW755" s="5">
        <v>0</v>
      </c>
      <c r="AY755" t="str">
        <f t="shared" si="0"/>
        <v>2.1.10</v>
      </c>
      <c r="AZ755" t="str">
        <f t="shared" si="1"/>
        <v>NÃO</v>
      </c>
      <c r="BA755" t="str">
        <f t="shared" si="2"/>
        <v>NÃO</v>
      </c>
      <c r="BB755" t="str">
        <f t="shared" si="3"/>
        <v>OUTROS STATUS</v>
      </c>
    </row>
    <row r="756" spans="1:54" ht="15" customHeight="1" x14ac:dyDescent="0.3">
      <c r="A756">
        <v>1</v>
      </c>
      <c r="B756">
        <v>15</v>
      </c>
      <c r="C756" t="s">
        <v>54</v>
      </c>
      <c r="D756" s="3">
        <v>46301.4933101852</v>
      </c>
      <c r="E756" s="4">
        <v>46301</v>
      </c>
      <c r="F756" t="s">
        <v>103</v>
      </c>
      <c r="G756" t="s">
        <v>56</v>
      </c>
      <c r="H756" t="s">
        <v>104</v>
      </c>
      <c r="I756" t="s">
        <v>105</v>
      </c>
      <c r="J756" t="s">
        <v>59</v>
      </c>
      <c r="L756" t="s">
        <v>106</v>
      </c>
      <c r="M756" t="s">
        <v>62</v>
      </c>
      <c r="O756" t="s">
        <v>132</v>
      </c>
      <c r="P756" t="s">
        <v>133</v>
      </c>
      <c r="Q756" s="5">
        <v>1</v>
      </c>
      <c r="R756" s="6">
        <v>520</v>
      </c>
      <c r="S756" s="6">
        <v>520</v>
      </c>
      <c r="T756" s="6">
        <v>101.57</v>
      </c>
      <c r="U756" s="3">
        <v>46301.263888888898</v>
      </c>
      <c r="W756" s="7" t="s">
        <v>109</v>
      </c>
      <c r="X756" t="s">
        <v>70</v>
      </c>
      <c r="Y756" t="s">
        <v>68</v>
      </c>
      <c r="Z756" t="s">
        <v>69</v>
      </c>
      <c r="AA756" t="s">
        <v>67</v>
      </c>
      <c r="AB756" t="s">
        <v>70</v>
      </c>
      <c r="AC756" t="s">
        <v>71</v>
      </c>
      <c r="AD756" t="s">
        <v>110</v>
      </c>
      <c r="AE756" t="s">
        <v>67</v>
      </c>
      <c r="AF756" t="s">
        <v>134</v>
      </c>
      <c r="AG756" t="b">
        <f>FALSE()</f>
        <v>0</v>
      </c>
      <c r="AH756" t="b">
        <f>FALSE()</f>
        <v>0</v>
      </c>
      <c r="AI756" t="b">
        <f>FALSE()</f>
        <v>0</v>
      </c>
      <c r="AJ756" t="b">
        <f>FALSE()</f>
        <v>0</v>
      </c>
      <c r="AK756" s="6">
        <v>101.57</v>
      </c>
      <c r="AL756" s="3">
        <v>46301.263888888898</v>
      </c>
      <c r="AM756">
        <v>1</v>
      </c>
      <c r="AO756" t="s">
        <v>112</v>
      </c>
      <c r="AP756" t="s">
        <v>112</v>
      </c>
      <c r="AQ756" t="s">
        <v>113</v>
      </c>
      <c r="AR756">
        <v>1</v>
      </c>
      <c r="AS756" t="b">
        <f>FALSE()</f>
        <v>0</v>
      </c>
      <c r="AT756" t="s">
        <v>114</v>
      </c>
      <c r="AU756" t="b">
        <f>TRUE()</f>
        <v>1</v>
      </c>
      <c r="AV756" t="b">
        <f>FALSE()</f>
        <v>0</v>
      </c>
      <c r="AW756" s="5">
        <v>0</v>
      </c>
      <c r="AY756" t="str">
        <f t="shared" si="0"/>
        <v>2.1.10</v>
      </c>
      <c r="AZ756" t="str">
        <f t="shared" si="1"/>
        <v>NÃO</v>
      </c>
      <c r="BA756" t="str">
        <f t="shared" si="2"/>
        <v>NÃO</v>
      </c>
      <c r="BB756" t="str">
        <f t="shared" si="3"/>
        <v>OUTROS STATUS</v>
      </c>
    </row>
    <row r="757" spans="1:54" ht="15" customHeight="1" x14ac:dyDescent="0.3">
      <c r="A757">
        <v>1</v>
      </c>
      <c r="B757">
        <v>15</v>
      </c>
      <c r="C757" t="s">
        <v>54</v>
      </c>
      <c r="D757" s="3">
        <v>46301.4933101852</v>
      </c>
      <c r="E757" s="4">
        <v>46301</v>
      </c>
      <c r="F757" t="s">
        <v>103</v>
      </c>
      <c r="G757" t="s">
        <v>56</v>
      </c>
      <c r="H757" t="s">
        <v>104</v>
      </c>
      <c r="I757" t="s">
        <v>105</v>
      </c>
      <c r="J757" t="s">
        <v>59</v>
      </c>
      <c r="L757" t="s">
        <v>106</v>
      </c>
      <c r="M757" t="s">
        <v>62</v>
      </c>
      <c r="O757" t="s">
        <v>82</v>
      </c>
      <c r="P757" t="s">
        <v>83</v>
      </c>
      <c r="Q757" s="5">
        <v>3</v>
      </c>
      <c r="R757" s="6">
        <v>140</v>
      </c>
      <c r="S757" s="6">
        <v>420</v>
      </c>
      <c r="T757" s="6">
        <v>279.3</v>
      </c>
      <c r="U757" s="3">
        <v>46301.263888888898</v>
      </c>
      <c r="W757" s="7" t="s">
        <v>109</v>
      </c>
      <c r="X757" t="s">
        <v>70</v>
      </c>
      <c r="Y757" t="s">
        <v>68</v>
      </c>
      <c r="Z757" t="s">
        <v>69</v>
      </c>
      <c r="AA757" t="s">
        <v>67</v>
      </c>
      <c r="AB757" t="s">
        <v>70</v>
      </c>
      <c r="AC757" t="s">
        <v>71</v>
      </c>
      <c r="AD757" t="s">
        <v>84</v>
      </c>
      <c r="AE757" t="s">
        <v>67</v>
      </c>
      <c r="AF757" t="s">
        <v>82</v>
      </c>
      <c r="AG757" t="b">
        <f>FALSE()</f>
        <v>0</v>
      </c>
      <c r="AH757" t="b">
        <f>FALSE()</f>
        <v>0</v>
      </c>
      <c r="AI757" t="b">
        <f>FALSE()</f>
        <v>0</v>
      </c>
      <c r="AJ757" t="b">
        <f>FALSE()</f>
        <v>0</v>
      </c>
      <c r="AK757" s="6">
        <v>93.1</v>
      </c>
      <c r="AL757" s="3">
        <v>46301.263888888898</v>
      </c>
      <c r="AM757">
        <v>1</v>
      </c>
      <c r="AO757" t="s">
        <v>112</v>
      </c>
      <c r="AP757" t="s">
        <v>112</v>
      </c>
      <c r="AQ757" t="s">
        <v>113</v>
      </c>
      <c r="AR757">
        <v>1</v>
      </c>
      <c r="AS757" t="b">
        <f>FALSE()</f>
        <v>0</v>
      </c>
      <c r="AT757" t="s">
        <v>114</v>
      </c>
      <c r="AU757" t="b">
        <f>TRUE()</f>
        <v>1</v>
      </c>
      <c r="AV757" t="b">
        <f>FALSE()</f>
        <v>0</v>
      </c>
      <c r="AW757" s="5">
        <v>0</v>
      </c>
      <c r="AY757" t="str">
        <f t="shared" si="0"/>
        <v>2.1.10</v>
      </c>
      <c r="AZ757" t="str">
        <f t="shared" si="1"/>
        <v>NÃO</v>
      </c>
      <c r="BA757" t="str">
        <f t="shared" si="2"/>
        <v>NÃO</v>
      </c>
      <c r="BB757" t="str">
        <f t="shared" si="3"/>
        <v>OUTROS STATUS</v>
      </c>
    </row>
    <row r="758" spans="1:54" ht="15" customHeight="1" x14ac:dyDescent="0.3">
      <c r="A758">
        <v>1</v>
      </c>
      <c r="B758">
        <v>15</v>
      </c>
      <c r="C758" t="s">
        <v>54</v>
      </c>
      <c r="D758" s="3">
        <v>46301.4933101852</v>
      </c>
      <c r="E758" s="4">
        <v>46301</v>
      </c>
      <c r="F758" t="s">
        <v>103</v>
      </c>
      <c r="G758" t="s">
        <v>56</v>
      </c>
      <c r="H758" t="s">
        <v>104</v>
      </c>
      <c r="I758" t="s">
        <v>105</v>
      </c>
      <c r="J758" t="s">
        <v>59</v>
      </c>
      <c r="L758" t="s">
        <v>106</v>
      </c>
      <c r="M758" t="s">
        <v>62</v>
      </c>
      <c r="O758" t="s">
        <v>135</v>
      </c>
      <c r="P758" t="s">
        <v>136</v>
      </c>
      <c r="Q758" s="5">
        <v>2</v>
      </c>
      <c r="R758" s="6">
        <v>492</v>
      </c>
      <c r="S758" s="6">
        <v>984</v>
      </c>
      <c r="T758" s="6">
        <v>357.5</v>
      </c>
      <c r="U758" s="3">
        <v>46301.263888888898</v>
      </c>
      <c r="W758" s="7" t="s">
        <v>109</v>
      </c>
      <c r="X758" t="s">
        <v>70</v>
      </c>
      <c r="Y758" t="s">
        <v>68</v>
      </c>
      <c r="Z758" t="s">
        <v>69</v>
      </c>
      <c r="AA758" t="s">
        <v>67</v>
      </c>
      <c r="AB758" t="s">
        <v>70</v>
      </c>
      <c r="AC758" t="s">
        <v>71</v>
      </c>
      <c r="AD758" t="s">
        <v>110</v>
      </c>
      <c r="AE758" t="s">
        <v>67</v>
      </c>
      <c r="AF758" t="s">
        <v>137</v>
      </c>
      <c r="AG758" t="b">
        <f>FALSE()</f>
        <v>0</v>
      </c>
      <c r="AH758" t="b">
        <f>FALSE()</f>
        <v>0</v>
      </c>
      <c r="AI758" t="b">
        <f>FALSE()</f>
        <v>0</v>
      </c>
      <c r="AJ758" t="b">
        <f>FALSE()</f>
        <v>0</v>
      </c>
      <c r="AK758" s="6">
        <v>178.75</v>
      </c>
      <c r="AL758" s="3">
        <v>46301.263888888898</v>
      </c>
      <c r="AM758">
        <v>1</v>
      </c>
      <c r="AO758" t="s">
        <v>112</v>
      </c>
      <c r="AP758" t="s">
        <v>112</v>
      </c>
      <c r="AQ758" t="s">
        <v>113</v>
      </c>
      <c r="AR758">
        <v>1</v>
      </c>
      <c r="AS758" t="b">
        <f>FALSE()</f>
        <v>0</v>
      </c>
      <c r="AT758" t="s">
        <v>114</v>
      </c>
      <c r="AU758" t="b">
        <f>TRUE()</f>
        <v>1</v>
      </c>
      <c r="AV758" t="b">
        <f>FALSE()</f>
        <v>0</v>
      </c>
      <c r="AW758" s="5">
        <v>0</v>
      </c>
      <c r="AY758" t="str">
        <f t="shared" si="0"/>
        <v>2.1.10</v>
      </c>
      <c r="AZ758" t="str">
        <f t="shared" si="1"/>
        <v>NÃO</v>
      </c>
      <c r="BA758" t="str">
        <f t="shared" si="2"/>
        <v>NÃO</v>
      </c>
      <c r="BB758" t="str">
        <f t="shared" si="3"/>
        <v>OUTROS STATUS</v>
      </c>
    </row>
    <row r="759" spans="1:54" ht="15" customHeight="1" x14ac:dyDescent="0.3">
      <c r="A759">
        <v>1</v>
      </c>
      <c r="B759">
        <v>15</v>
      </c>
      <c r="C759" t="s">
        <v>54</v>
      </c>
      <c r="D759" s="3">
        <v>46301.4933101852</v>
      </c>
      <c r="E759" s="4">
        <v>46301</v>
      </c>
      <c r="F759" t="s">
        <v>103</v>
      </c>
      <c r="G759" t="s">
        <v>56</v>
      </c>
      <c r="H759" t="s">
        <v>104</v>
      </c>
      <c r="I759" t="s">
        <v>105</v>
      </c>
      <c r="J759" t="s">
        <v>59</v>
      </c>
      <c r="L759" t="s">
        <v>106</v>
      </c>
      <c r="M759" t="s">
        <v>62</v>
      </c>
      <c r="O759" t="s">
        <v>138</v>
      </c>
      <c r="P759" t="s">
        <v>139</v>
      </c>
      <c r="Q759" s="5">
        <v>2</v>
      </c>
      <c r="R759" s="6">
        <v>157</v>
      </c>
      <c r="S759" s="6">
        <v>314</v>
      </c>
      <c r="T759" s="6">
        <v>113.7</v>
      </c>
      <c r="U759" s="3">
        <v>46301.263888888898</v>
      </c>
      <c r="W759" s="7" t="s">
        <v>109</v>
      </c>
      <c r="X759" t="s">
        <v>70</v>
      </c>
      <c r="Y759" t="s">
        <v>68</v>
      </c>
      <c r="Z759" t="s">
        <v>69</v>
      </c>
      <c r="AA759" t="s">
        <v>67</v>
      </c>
      <c r="AB759" t="s">
        <v>70</v>
      </c>
      <c r="AC759" t="s">
        <v>71</v>
      </c>
      <c r="AD759" t="s">
        <v>110</v>
      </c>
      <c r="AE759" t="s">
        <v>67</v>
      </c>
      <c r="AF759" t="s">
        <v>140</v>
      </c>
      <c r="AG759" t="b">
        <f>FALSE()</f>
        <v>0</v>
      </c>
      <c r="AH759" t="b">
        <f>FALSE()</f>
        <v>0</v>
      </c>
      <c r="AI759" t="b">
        <f>FALSE()</f>
        <v>0</v>
      </c>
      <c r="AJ759" t="b">
        <f>FALSE()</f>
        <v>0</v>
      </c>
      <c r="AK759" s="6">
        <v>56.85</v>
      </c>
      <c r="AL759" s="3">
        <v>46301.263888888898</v>
      </c>
      <c r="AM759">
        <v>1</v>
      </c>
      <c r="AO759" t="s">
        <v>112</v>
      </c>
      <c r="AP759" t="s">
        <v>112</v>
      </c>
      <c r="AQ759" t="s">
        <v>113</v>
      </c>
      <c r="AR759">
        <v>1</v>
      </c>
      <c r="AS759" t="b">
        <f>FALSE()</f>
        <v>0</v>
      </c>
      <c r="AT759" t="s">
        <v>114</v>
      </c>
      <c r="AU759" t="b">
        <f>TRUE()</f>
        <v>1</v>
      </c>
      <c r="AV759" t="b">
        <f>FALSE()</f>
        <v>0</v>
      </c>
      <c r="AW759" s="5">
        <v>0</v>
      </c>
      <c r="AY759" t="str">
        <f t="shared" si="0"/>
        <v>2.1.10</v>
      </c>
      <c r="AZ759" t="str">
        <f t="shared" si="1"/>
        <v>NÃO</v>
      </c>
      <c r="BA759" t="str">
        <f t="shared" si="2"/>
        <v>NÃO</v>
      </c>
      <c r="BB759" t="str">
        <f t="shared" si="3"/>
        <v>OUTROS STATUS</v>
      </c>
    </row>
    <row r="760" spans="1:54" ht="15" customHeight="1" x14ac:dyDescent="0.3">
      <c r="A760">
        <v>1</v>
      </c>
      <c r="B760">
        <v>15</v>
      </c>
      <c r="C760" t="s">
        <v>54</v>
      </c>
      <c r="D760" s="3">
        <v>46301.4933101852</v>
      </c>
      <c r="E760" s="4">
        <v>46301</v>
      </c>
      <c r="F760" t="s">
        <v>103</v>
      </c>
      <c r="G760" t="s">
        <v>56</v>
      </c>
      <c r="H760" t="s">
        <v>104</v>
      </c>
      <c r="I760" t="s">
        <v>105</v>
      </c>
      <c r="J760" t="s">
        <v>59</v>
      </c>
      <c r="L760" t="s">
        <v>106</v>
      </c>
      <c r="M760" t="s">
        <v>62</v>
      </c>
      <c r="O760" t="s">
        <v>141</v>
      </c>
      <c r="P760" t="s">
        <v>142</v>
      </c>
      <c r="Q760" s="5">
        <v>1</v>
      </c>
      <c r="R760" s="6">
        <v>3200</v>
      </c>
      <c r="S760" s="6">
        <v>3200</v>
      </c>
      <c r="T760" s="6">
        <v>2000</v>
      </c>
      <c r="U760" s="3">
        <v>46301.263888888898</v>
      </c>
      <c r="W760" s="7" t="s">
        <v>109</v>
      </c>
      <c r="X760" t="s">
        <v>70</v>
      </c>
      <c r="Y760" t="s">
        <v>23</v>
      </c>
      <c r="Z760" t="s">
        <v>69</v>
      </c>
      <c r="AA760" t="s">
        <v>67</v>
      </c>
      <c r="AB760" t="s">
        <v>70</v>
      </c>
      <c r="AC760" t="s">
        <v>71</v>
      </c>
      <c r="AD760" t="s">
        <v>102</v>
      </c>
      <c r="AE760" t="s">
        <v>67</v>
      </c>
      <c r="AG760" t="b">
        <f>FALSE()</f>
        <v>0</v>
      </c>
      <c r="AH760" t="b">
        <f>FALSE()</f>
        <v>0</v>
      </c>
      <c r="AI760" t="b">
        <f>FALSE()</f>
        <v>0</v>
      </c>
      <c r="AJ760" t="b">
        <f>FALSE()</f>
        <v>0</v>
      </c>
      <c r="AK760" s="6">
        <v>2000</v>
      </c>
      <c r="AL760" s="3">
        <v>46301.263888888898</v>
      </c>
      <c r="AM760">
        <v>1</v>
      </c>
      <c r="AO760" t="s">
        <v>112</v>
      </c>
      <c r="AP760" t="s">
        <v>112</v>
      </c>
      <c r="AQ760" t="s">
        <v>113</v>
      </c>
      <c r="AR760">
        <v>1</v>
      </c>
      <c r="AS760" t="b">
        <f>FALSE()</f>
        <v>0</v>
      </c>
      <c r="AT760" t="s">
        <v>114</v>
      </c>
      <c r="AU760" t="b">
        <f>TRUE()</f>
        <v>1</v>
      </c>
      <c r="AV760" t="b">
        <f>FALSE()</f>
        <v>0</v>
      </c>
      <c r="AW760" s="5">
        <v>0</v>
      </c>
      <c r="AY760" t="str">
        <f t="shared" si="0"/>
        <v>2.1.10</v>
      </c>
      <c r="AZ760" t="str">
        <f t="shared" si="1"/>
        <v>NÃO</v>
      </c>
      <c r="BA760" t="str">
        <f t="shared" si="2"/>
        <v>NÃO</v>
      </c>
      <c r="BB760" t="str">
        <f t="shared" si="3"/>
        <v>OUTROS STATUS</v>
      </c>
    </row>
    <row r="761" spans="1:54" ht="15" customHeight="1" x14ac:dyDescent="0.3">
      <c r="A761">
        <v>1</v>
      </c>
      <c r="B761">
        <v>15</v>
      </c>
      <c r="C761" t="s">
        <v>54</v>
      </c>
      <c r="D761" s="3">
        <v>46301.4933101852</v>
      </c>
      <c r="E761" s="4">
        <v>46301</v>
      </c>
      <c r="F761" t="s">
        <v>103</v>
      </c>
      <c r="G761" t="s">
        <v>56</v>
      </c>
      <c r="H761" t="s">
        <v>104</v>
      </c>
      <c r="I761" t="s">
        <v>105</v>
      </c>
      <c r="J761" t="s">
        <v>59</v>
      </c>
      <c r="L761" t="s">
        <v>106</v>
      </c>
      <c r="M761" t="s">
        <v>62</v>
      </c>
      <c r="O761" t="s">
        <v>143</v>
      </c>
      <c r="P761" t="s">
        <v>144</v>
      </c>
      <c r="Q761" s="5">
        <v>4</v>
      </c>
      <c r="R761" s="6">
        <v>59</v>
      </c>
      <c r="S761" s="6">
        <v>236</v>
      </c>
      <c r="T761" s="6">
        <v>85.2</v>
      </c>
      <c r="U761" s="3">
        <v>46301.263888888898</v>
      </c>
      <c r="W761" s="7" t="s">
        <v>109</v>
      </c>
      <c r="X761" t="s">
        <v>70</v>
      </c>
      <c r="Y761" t="s">
        <v>68</v>
      </c>
      <c r="Z761" t="s">
        <v>69</v>
      </c>
      <c r="AA761" t="s">
        <v>67</v>
      </c>
      <c r="AB761" t="s">
        <v>70</v>
      </c>
      <c r="AC761" t="s">
        <v>71</v>
      </c>
      <c r="AD761" t="s">
        <v>110</v>
      </c>
      <c r="AE761" t="s">
        <v>67</v>
      </c>
      <c r="AF761" t="s">
        <v>145</v>
      </c>
      <c r="AG761" t="b">
        <f>FALSE()</f>
        <v>0</v>
      </c>
      <c r="AH761" t="b">
        <f>FALSE()</f>
        <v>0</v>
      </c>
      <c r="AI761" t="b">
        <f>FALSE()</f>
        <v>0</v>
      </c>
      <c r="AJ761" t="b">
        <f>FALSE()</f>
        <v>0</v>
      </c>
      <c r="AK761" s="6">
        <v>21.3</v>
      </c>
      <c r="AL761" s="3">
        <v>46301.263888888898</v>
      </c>
      <c r="AM761">
        <v>1</v>
      </c>
      <c r="AO761" t="s">
        <v>112</v>
      </c>
      <c r="AP761" t="s">
        <v>112</v>
      </c>
      <c r="AQ761" t="s">
        <v>113</v>
      </c>
      <c r="AR761">
        <v>1</v>
      </c>
      <c r="AS761" t="b">
        <f>FALSE()</f>
        <v>0</v>
      </c>
      <c r="AT761" t="s">
        <v>114</v>
      </c>
      <c r="AU761" t="b">
        <f>TRUE()</f>
        <v>1</v>
      </c>
      <c r="AV761" t="b">
        <f>FALSE()</f>
        <v>0</v>
      </c>
      <c r="AW761" s="5">
        <v>0</v>
      </c>
      <c r="AY761" t="str">
        <f t="shared" si="0"/>
        <v>2.1.10</v>
      </c>
      <c r="AZ761" t="str">
        <f t="shared" si="1"/>
        <v>NÃO</v>
      </c>
      <c r="BA761" t="str">
        <f t="shared" si="2"/>
        <v>NÃO</v>
      </c>
      <c r="BB761" t="str">
        <f t="shared" si="3"/>
        <v>OUTROS STATUS</v>
      </c>
    </row>
    <row r="762" spans="1:54" ht="15" customHeight="1" x14ac:dyDescent="0.3">
      <c r="A762">
        <v>1</v>
      </c>
      <c r="B762">
        <v>15</v>
      </c>
      <c r="C762" t="s">
        <v>54</v>
      </c>
      <c r="D762" s="3">
        <v>46301.4933101852</v>
      </c>
      <c r="E762" s="4">
        <v>46301</v>
      </c>
      <c r="F762" t="s">
        <v>103</v>
      </c>
      <c r="G762" t="s">
        <v>56</v>
      </c>
      <c r="H762" t="s">
        <v>104</v>
      </c>
      <c r="I762" t="s">
        <v>105</v>
      </c>
      <c r="J762" t="s">
        <v>59</v>
      </c>
      <c r="L762" t="s">
        <v>106</v>
      </c>
      <c r="M762" t="s">
        <v>62</v>
      </c>
      <c r="O762" t="s">
        <v>146</v>
      </c>
      <c r="P762" t="s">
        <v>147</v>
      </c>
      <c r="Q762" s="5">
        <v>4</v>
      </c>
      <c r="R762" s="6">
        <v>58</v>
      </c>
      <c r="S762" s="6">
        <v>232</v>
      </c>
      <c r="T762" s="6">
        <v>84</v>
      </c>
      <c r="U762" s="3">
        <v>46301.263888888898</v>
      </c>
      <c r="W762" s="7" t="s">
        <v>109</v>
      </c>
      <c r="X762" t="s">
        <v>70</v>
      </c>
      <c r="Y762" t="s">
        <v>68</v>
      </c>
      <c r="Z762" t="s">
        <v>69</v>
      </c>
      <c r="AA762" t="s">
        <v>67</v>
      </c>
      <c r="AB762" t="s">
        <v>70</v>
      </c>
      <c r="AC762" t="s">
        <v>71</v>
      </c>
      <c r="AD762" t="s">
        <v>110</v>
      </c>
      <c r="AE762" t="s">
        <v>67</v>
      </c>
      <c r="AF762" t="s">
        <v>148</v>
      </c>
      <c r="AG762" t="b">
        <f>FALSE()</f>
        <v>0</v>
      </c>
      <c r="AH762" t="b">
        <f>FALSE()</f>
        <v>0</v>
      </c>
      <c r="AI762" t="b">
        <f>FALSE()</f>
        <v>0</v>
      </c>
      <c r="AJ762" t="b">
        <f>FALSE()</f>
        <v>0</v>
      </c>
      <c r="AK762" s="6">
        <v>21</v>
      </c>
      <c r="AL762" s="3">
        <v>46301.263888888898</v>
      </c>
      <c r="AM762">
        <v>1</v>
      </c>
      <c r="AO762" t="s">
        <v>112</v>
      </c>
      <c r="AP762" t="s">
        <v>112</v>
      </c>
      <c r="AQ762" t="s">
        <v>113</v>
      </c>
      <c r="AR762">
        <v>1</v>
      </c>
      <c r="AS762" t="b">
        <f>FALSE()</f>
        <v>0</v>
      </c>
      <c r="AT762" t="s">
        <v>114</v>
      </c>
      <c r="AU762" t="b">
        <f>TRUE()</f>
        <v>1</v>
      </c>
      <c r="AV762" t="b">
        <f>FALSE()</f>
        <v>0</v>
      </c>
      <c r="AW762" s="5">
        <v>0</v>
      </c>
      <c r="AY762" t="str">
        <f t="shared" si="0"/>
        <v>2.1.10</v>
      </c>
      <c r="AZ762" t="str">
        <f t="shared" si="1"/>
        <v>NÃO</v>
      </c>
      <c r="BA762" t="str">
        <f t="shared" si="2"/>
        <v>NÃO</v>
      </c>
      <c r="BB762" t="str">
        <f t="shared" si="3"/>
        <v>OUTROS STATUS</v>
      </c>
    </row>
    <row r="763" spans="1:54" ht="15" customHeight="1" x14ac:dyDescent="0.3">
      <c r="A763">
        <v>1</v>
      </c>
      <c r="B763">
        <v>15</v>
      </c>
      <c r="C763" t="s">
        <v>54</v>
      </c>
      <c r="D763" s="3">
        <v>46301.424236111103</v>
      </c>
      <c r="E763" s="4">
        <v>46301</v>
      </c>
      <c r="F763" t="s">
        <v>149</v>
      </c>
      <c r="G763" t="s">
        <v>56</v>
      </c>
      <c r="H763" t="s">
        <v>150</v>
      </c>
      <c r="I763" t="s">
        <v>151</v>
      </c>
      <c r="J763" t="s">
        <v>59</v>
      </c>
      <c r="L763" t="s">
        <v>106</v>
      </c>
      <c r="M763" t="s">
        <v>62</v>
      </c>
      <c r="O763" t="s">
        <v>64</v>
      </c>
      <c r="P763" t="s">
        <v>65</v>
      </c>
      <c r="Q763" s="5">
        <v>1</v>
      </c>
      <c r="R763" s="6">
        <v>237</v>
      </c>
      <c r="S763" s="6">
        <v>237</v>
      </c>
      <c r="T763" s="6">
        <v>157.5</v>
      </c>
      <c r="U763" s="3">
        <v>46301.25</v>
      </c>
      <c r="W763" s="7" t="s">
        <v>152</v>
      </c>
      <c r="X763" t="s">
        <v>70</v>
      </c>
      <c r="Y763" t="s">
        <v>68</v>
      </c>
      <c r="Z763" t="s">
        <v>69</v>
      </c>
      <c r="AA763" t="s">
        <v>67</v>
      </c>
      <c r="AB763" t="s">
        <v>70</v>
      </c>
      <c r="AC763" t="s">
        <v>71</v>
      </c>
      <c r="AD763" t="s">
        <v>72</v>
      </c>
      <c r="AE763" t="s">
        <v>67</v>
      </c>
      <c r="AF763" t="s">
        <v>73</v>
      </c>
      <c r="AG763" t="b">
        <f>FALSE()</f>
        <v>0</v>
      </c>
      <c r="AH763" t="b">
        <f>FALSE()</f>
        <v>0</v>
      </c>
      <c r="AI763" t="b">
        <f>FALSE()</f>
        <v>0</v>
      </c>
      <c r="AJ763" t="b">
        <f>FALSE()</f>
        <v>0</v>
      </c>
      <c r="AK763" s="6">
        <v>157.5</v>
      </c>
      <c r="AL763" s="3">
        <v>46301.25</v>
      </c>
      <c r="AM763">
        <v>1</v>
      </c>
      <c r="AO763" t="s">
        <v>112</v>
      </c>
      <c r="AP763" t="s">
        <v>112</v>
      </c>
      <c r="AQ763" t="s">
        <v>113</v>
      </c>
      <c r="AR763">
        <v>1</v>
      </c>
      <c r="AS763" t="b">
        <f>FALSE()</f>
        <v>0</v>
      </c>
      <c r="AT763" t="s">
        <v>114</v>
      </c>
      <c r="AU763" t="b">
        <f>TRUE()</f>
        <v>1</v>
      </c>
      <c r="AV763" t="b">
        <f>FALSE()</f>
        <v>0</v>
      </c>
      <c r="AW763" s="5">
        <v>0</v>
      </c>
      <c r="AY763" t="str">
        <f t="shared" si="0"/>
        <v>2.1.10</v>
      </c>
      <c r="AZ763" t="str">
        <f t="shared" si="1"/>
        <v>NÃO</v>
      </c>
      <c r="BA763" t="str">
        <f t="shared" si="2"/>
        <v>NÃO</v>
      </c>
      <c r="BB763" t="str">
        <f t="shared" si="3"/>
        <v>OUTROS STATUS</v>
      </c>
    </row>
    <row r="764" spans="1:54" ht="15" customHeight="1" x14ac:dyDescent="0.3">
      <c r="A764">
        <v>1</v>
      </c>
      <c r="B764">
        <v>15</v>
      </c>
      <c r="C764" t="s">
        <v>54</v>
      </c>
      <c r="D764" s="3">
        <v>46301.424236111103</v>
      </c>
      <c r="E764" s="4">
        <v>46301</v>
      </c>
      <c r="F764" t="s">
        <v>149</v>
      </c>
      <c r="G764" t="s">
        <v>56</v>
      </c>
      <c r="H764" t="s">
        <v>150</v>
      </c>
      <c r="I764" t="s">
        <v>151</v>
      </c>
      <c r="J764" t="s">
        <v>59</v>
      </c>
      <c r="L764" t="s">
        <v>106</v>
      </c>
      <c r="M764" t="s">
        <v>62</v>
      </c>
      <c r="O764" t="s">
        <v>153</v>
      </c>
      <c r="P764" t="s">
        <v>154</v>
      </c>
      <c r="Q764" s="5">
        <v>2</v>
      </c>
      <c r="R764" s="6">
        <v>46</v>
      </c>
      <c r="S764" s="6">
        <v>92</v>
      </c>
      <c r="T764" s="6">
        <v>28.8</v>
      </c>
      <c r="U764" s="3">
        <v>46301.25</v>
      </c>
      <c r="W764" s="7" t="s">
        <v>152</v>
      </c>
      <c r="X764" t="s">
        <v>70</v>
      </c>
      <c r="Y764" t="s">
        <v>68</v>
      </c>
      <c r="Z764" t="s">
        <v>69</v>
      </c>
      <c r="AA764" t="s">
        <v>67</v>
      </c>
      <c r="AB764" t="s">
        <v>70</v>
      </c>
      <c r="AC764" t="s">
        <v>71</v>
      </c>
      <c r="AD764" t="s">
        <v>77</v>
      </c>
      <c r="AE764" t="s">
        <v>67</v>
      </c>
      <c r="AF764" t="s">
        <v>155</v>
      </c>
      <c r="AG764" t="b">
        <f>FALSE()</f>
        <v>0</v>
      </c>
      <c r="AH764" t="b">
        <f>FALSE()</f>
        <v>0</v>
      </c>
      <c r="AI764" t="b">
        <f>FALSE()</f>
        <v>0</v>
      </c>
      <c r="AJ764" t="b">
        <f>FALSE()</f>
        <v>0</v>
      </c>
      <c r="AK764" s="6">
        <v>14.4</v>
      </c>
      <c r="AL764" s="3">
        <v>46301.25</v>
      </c>
      <c r="AM764">
        <v>1</v>
      </c>
      <c r="AO764" t="s">
        <v>112</v>
      </c>
      <c r="AP764" t="s">
        <v>112</v>
      </c>
      <c r="AQ764" t="s">
        <v>113</v>
      </c>
      <c r="AR764">
        <v>1</v>
      </c>
      <c r="AS764" t="b">
        <f>FALSE()</f>
        <v>0</v>
      </c>
      <c r="AT764" t="s">
        <v>114</v>
      </c>
      <c r="AU764" t="b">
        <f>TRUE()</f>
        <v>1</v>
      </c>
      <c r="AV764" t="b">
        <f>FALSE()</f>
        <v>0</v>
      </c>
      <c r="AW764" s="5">
        <v>0</v>
      </c>
      <c r="AY764" t="str">
        <f t="shared" si="0"/>
        <v>2.1.10</v>
      </c>
      <c r="AZ764" t="str">
        <f t="shared" si="1"/>
        <v>NÃO</v>
      </c>
      <c r="BA764" t="str">
        <f t="shared" si="2"/>
        <v>NÃO</v>
      </c>
      <c r="BB764" t="str">
        <f t="shared" si="3"/>
        <v>OUTROS STATUS</v>
      </c>
    </row>
    <row r="765" spans="1:54" ht="15" customHeight="1" x14ac:dyDescent="0.3">
      <c r="A765">
        <v>1</v>
      </c>
      <c r="B765">
        <v>15</v>
      </c>
      <c r="C765" t="s">
        <v>54</v>
      </c>
      <c r="D765" s="3">
        <v>46301.424236111103</v>
      </c>
      <c r="E765" s="4">
        <v>46301</v>
      </c>
      <c r="F765" t="s">
        <v>149</v>
      </c>
      <c r="G765" t="s">
        <v>56</v>
      </c>
      <c r="H765" t="s">
        <v>150</v>
      </c>
      <c r="I765" t="s">
        <v>151</v>
      </c>
      <c r="J765" t="s">
        <v>59</v>
      </c>
      <c r="L765" t="s">
        <v>106</v>
      </c>
      <c r="M765" t="s">
        <v>62</v>
      </c>
      <c r="O765" t="s">
        <v>79</v>
      </c>
      <c r="P765" t="s">
        <v>80</v>
      </c>
      <c r="Q765" s="5">
        <v>2</v>
      </c>
      <c r="R765" s="6">
        <v>570</v>
      </c>
      <c r="S765" s="6">
        <v>1140</v>
      </c>
      <c r="T765" s="6">
        <v>400.5</v>
      </c>
      <c r="U765" s="3">
        <v>46301.25</v>
      </c>
      <c r="W765" s="7" t="s">
        <v>152</v>
      </c>
      <c r="X765" t="s">
        <v>70</v>
      </c>
      <c r="Y765" t="s">
        <v>68</v>
      </c>
      <c r="Z765" t="s">
        <v>69</v>
      </c>
      <c r="AA765" t="s">
        <v>67</v>
      </c>
      <c r="AB765" t="s">
        <v>70</v>
      </c>
      <c r="AC765" t="s">
        <v>71</v>
      </c>
      <c r="AD765" t="s">
        <v>77</v>
      </c>
      <c r="AE765" t="s">
        <v>67</v>
      </c>
      <c r="AF765" t="s">
        <v>81</v>
      </c>
      <c r="AG765" t="b">
        <f>FALSE()</f>
        <v>0</v>
      </c>
      <c r="AH765" t="b">
        <f>FALSE()</f>
        <v>0</v>
      </c>
      <c r="AI765" t="b">
        <f>FALSE()</f>
        <v>0</v>
      </c>
      <c r="AJ765" t="b">
        <f>FALSE()</f>
        <v>0</v>
      </c>
      <c r="AK765" s="6">
        <v>200.25</v>
      </c>
      <c r="AL765" s="3">
        <v>46301.25</v>
      </c>
      <c r="AM765">
        <v>1</v>
      </c>
      <c r="AO765" t="s">
        <v>112</v>
      </c>
      <c r="AP765" t="s">
        <v>112</v>
      </c>
      <c r="AQ765" t="s">
        <v>113</v>
      </c>
      <c r="AR765">
        <v>1</v>
      </c>
      <c r="AS765" t="b">
        <f>FALSE()</f>
        <v>0</v>
      </c>
      <c r="AT765" t="s">
        <v>114</v>
      </c>
      <c r="AU765" t="b">
        <f>TRUE()</f>
        <v>1</v>
      </c>
      <c r="AV765" t="b">
        <f>FALSE()</f>
        <v>0</v>
      </c>
      <c r="AW765" s="5">
        <v>0</v>
      </c>
      <c r="AY765" t="str">
        <f t="shared" si="0"/>
        <v>2.1.10</v>
      </c>
      <c r="AZ765" t="str">
        <f t="shared" si="1"/>
        <v>NÃO</v>
      </c>
      <c r="BA765" t="str">
        <f t="shared" si="2"/>
        <v>NÃO</v>
      </c>
      <c r="BB765" t="str">
        <f t="shared" si="3"/>
        <v>OUTROS STATUS</v>
      </c>
    </row>
    <row r="766" spans="1:54" ht="15" customHeight="1" x14ac:dyDescent="0.3">
      <c r="A766">
        <v>1</v>
      </c>
      <c r="B766">
        <v>15</v>
      </c>
      <c r="C766" t="s">
        <v>54</v>
      </c>
      <c r="D766" s="3">
        <v>46301.424236111103</v>
      </c>
      <c r="E766" s="4">
        <v>46301</v>
      </c>
      <c r="F766" t="s">
        <v>149</v>
      </c>
      <c r="G766" t="s">
        <v>56</v>
      </c>
      <c r="H766" t="s">
        <v>150</v>
      </c>
      <c r="I766" t="s">
        <v>151</v>
      </c>
      <c r="J766" t="s">
        <v>59</v>
      </c>
      <c r="L766" t="s">
        <v>106</v>
      </c>
      <c r="M766" t="s">
        <v>62</v>
      </c>
      <c r="O766" t="s">
        <v>82</v>
      </c>
      <c r="P766" t="s">
        <v>83</v>
      </c>
      <c r="Q766" s="5">
        <v>1</v>
      </c>
      <c r="R766" s="6">
        <v>140</v>
      </c>
      <c r="S766" s="6">
        <v>140</v>
      </c>
      <c r="T766" s="6">
        <v>93.1</v>
      </c>
      <c r="U766" s="3">
        <v>46301.25</v>
      </c>
      <c r="W766" s="7" t="s">
        <v>152</v>
      </c>
      <c r="X766" t="s">
        <v>70</v>
      </c>
      <c r="Y766" t="s">
        <v>68</v>
      </c>
      <c r="Z766" t="s">
        <v>69</v>
      </c>
      <c r="AA766" t="s">
        <v>67</v>
      </c>
      <c r="AB766" t="s">
        <v>70</v>
      </c>
      <c r="AC766" t="s">
        <v>71</v>
      </c>
      <c r="AD766" t="s">
        <v>84</v>
      </c>
      <c r="AE766" t="s">
        <v>67</v>
      </c>
      <c r="AF766" t="s">
        <v>82</v>
      </c>
      <c r="AG766" t="b">
        <f>FALSE()</f>
        <v>0</v>
      </c>
      <c r="AH766" t="b">
        <f>FALSE()</f>
        <v>0</v>
      </c>
      <c r="AI766" t="b">
        <f>FALSE()</f>
        <v>0</v>
      </c>
      <c r="AJ766" t="b">
        <f>FALSE()</f>
        <v>0</v>
      </c>
      <c r="AK766" s="6">
        <v>93.1</v>
      </c>
      <c r="AL766" s="3">
        <v>46301.25</v>
      </c>
      <c r="AM766">
        <v>1</v>
      </c>
      <c r="AO766" t="s">
        <v>112</v>
      </c>
      <c r="AP766" t="s">
        <v>112</v>
      </c>
      <c r="AQ766" t="s">
        <v>113</v>
      </c>
      <c r="AR766">
        <v>1</v>
      </c>
      <c r="AS766" t="b">
        <f>FALSE()</f>
        <v>0</v>
      </c>
      <c r="AT766" t="s">
        <v>114</v>
      </c>
      <c r="AU766" t="b">
        <f>TRUE()</f>
        <v>1</v>
      </c>
      <c r="AV766" t="b">
        <f>FALSE()</f>
        <v>0</v>
      </c>
      <c r="AW766" s="5">
        <v>0</v>
      </c>
      <c r="AY766" t="str">
        <f t="shared" si="0"/>
        <v>2.1.10</v>
      </c>
      <c r="AZ766" t="str">
        <f t="shared" si="1"/>
        <v>NÃO</v>
      </c>
      <c r="BA766" t="str">
        <f t="shared" si="2"/>
        <v>NÃO</v>
      </c>
      <c r="BB766" t="str">
        <f t="shared" si="3"/>
        <v>OUTROS STATUS</v>
      </c>
    </row>
    <row r="767" spans="1:54" ht="15" customHeight="1" x14ac:dyDescent="0.3">
      <c r="A767">
        <v>1</v>
      </c>
      <c r="B767">
        <v>15</v>
      </c>
      <c r="C767" t="s">
        <v>54</v>
      </c>
      <c r="D767" s="3">
        <v>46301.424236111103</v>
      </c>
      <c r="E767" s="4">
        <v>46301</v>
      </c>
      <c r="F767" t="s">
        <v>149</v>
      </c>
      <c r="G767" t="s">
        <v>56</v>
      </c>
      <c r="H767" t="s">
        <v>150</v>
      </c>
      <c r="I767" t="s">
        <v>151</v>
      </c>
      <c r="J767" t="s">
        <v>59</v>
      </c>
      <c r="L767" t="s">
        <v>106</v>
      </c>
      <c r="M767" t="s">
        <v>62</v>
      </c>
      <c r="O767" t="s">
        <v>156</v>
      </c>
      <c r="P767" t="s">
        <v>157</v>
      </c>
      <c r="Q767" s="5">
        <v>2</v>
      </c>
      <c r="R767" s="6">
        <v>286.05</v>
      </c>
      <c r="S767" s="6">
        <v>572.1</v>
      </c>
      <c r="T767" s="6">
        <v>180.9</v>
      </c>
      <c r="U767" s="3">
        <v>46301.25</v>
      </c>
      <c r="W767" s="7" t="s">
        <v>152</v>
      </c>
      <c r="X767" t="s">
        <v>70</v>
      </c>
      <c r="Y767" t="s">
        <v>68</v>
      </c>
      <c r="Z767" t="s">
        <v>69</v>
      </c>
      <c r="AA767" t="s">
        <v>67</v>
      </c>
      <c r="AB767" t="s">
        <v>70</v>
      </c>
      <c r="AC767" t="s">
        <v>71</v>
      </c>
      <c r="AD767" t="s">
        <v>77</v>
      </c>
      <c r="AE767" t="s">
        <v>67</v>
      </c>
      <c r="AF767" t="s">
        <v>158</v>
      </c>
      <c r="AG767" t="b">
        <f>FALSE()</f>
        <v>0</v>
      </c>
      <c r="AH767" t="b">
        <f>FALSE()</f>
        <v>0</v>
      </c>
      <c r="AI767" t="b">
        <f>FALSE()</f>
        <v>0</v>
      </c>
      <c r="AJ767" t="b">
        <f>FALSE()</f>
        <v>0</v>
      </c>
      <c r="AK767" s="6">
        <v>90.45</v>
      </c>
      <c r="AL767" s="3">
        <v>46301.25</v>
      </c>
      <c r="AM767">
        <v>1</v>
      </c>
      <c r="AO767" t="s">
        <v>112</v>
      </c>
      <c r="AP767" t="s">
        <v>112</v>
      </c>
      <c r="AQ767" t="s">
        <v>113</v>
      </c>
      <c r="AR767">
        <v>1</v>
      </c>
      <c r="AS767" t="b">
        <f>FALSE()</f>
        <v>0</v>
      </c>
      <c r="AT767" t="s">
        <v>114</v>
      </c>
      <c r="AU767" t="b">
        <f>TRUE()</f>
        <v>1</v>
      </c>
      <c r="AV767" t="b">
        <f>FALSE()</f>
        <v>0</v>
      </c>
      <c r="AW767" s="5">
        <v>0</v>
      </c>
      <c r="AY767" t="str">
        <f t="shared" si="0"/>
        <v>2.1.10</v>
      </c>
      <c r="AZ767" t="str">
        <f t="shared" si="1"/>
        <v>NÃO</v>
      </c>
      <c r="BA767" t="str">
        <f t="shared" si="2"/>
        <v>NÃO</v>
      </c>
      <c r="BB767" t="str">
        <f t="shared" si="3"/>
        <v>OUTROS STATUS</v>
      </c>
    </row>
    <row r="768" spans="1:54" ht="15" customHeight="1" x14ac:dyDescent="0.3">
      <c r="A768">
        <v>1</v>
      </c>
      <c r="B768">
        <v>15</v>
      </c>
      <c r="C768" t="s">
        <v>54</v>
      </c>
      <c r="D768" s="3">
        <v>46301.424236111103</v>
      </c>
      <c r="E768" s="4">
        <v>46301</v>
      </c>
      <c r="F768" t="s">
        <v>149</v>
      </c>
      <c r="G768" t="s">
        <v>56</v>
      </c>
      <c r="H768" t="s">
        <v>150</v>
      </c>
      <c r="I768" t="s">
        <v>151</v>
      </c>
      <c r="J768" t="s">
        <v>59</v>
      </c>
      <c r="L768" t="s">
        <v>106</v>
      </c>
      <c r="M768" t="s">
        <v>62</v>
      </c>
      <c r="O768" t="s">
        <v>85</v>
      </c>
      <c r="P768" t="s">
        <v>86</v>
      </c>
      <c r="Q768" s="5">
        <v>2</v>
      </c>
      <c r="R768" s="6">
        <v>33</v>
      </c>
      <c r="S768" s="6">
        <v>66</v>
      </c>
      <c r="T768" s="6">
        <v>23.4</v>
      </c>
      <c r="U768" s="3">
        <v>46301.25</v>
      </c>
      <c r="W768" s="7" t="s">
        <v>152</v>
      </c>
      <c r="X768" t="s">
        <v>70</v>
      </c>
      <c r="Y768" t="s">
        <v>68</v>
      </c>
      <c r="Z768" t="s">
        <v>69</v>
      </c>
      <c r="AA768" t="s">
        <v>67</v>
      </c>
      <c r="AB768" t="s">
        <v>70</v>
      </c>
      <c r="AC768" t="s">
        <v>71</v>
      </c>
      <c r="AD768" t="s">
        <v>77</v>
      </c>
      <c r="AE768" t="s">
        <v>70</v>
      </c>
      <c r="AF768" t="s">
        <v>87</v>
      </c>
      <c r="AG768" t="b">
        <f>FALSE()</f>
        <v>0</v>
      </c>
      <c r="AH768" t="b">
        <f>FALSE()</f>
        <v>0</v>
      </c>
      <c r="AI768" t="b">
        <f>FALSE()</f>
        <v>0</v>
      </c>
      <c r="AJ768" t="b">
        <f>FALSE()</f>
        <v>0</v>
      </c>
      <c r="AK768" s="6">
        <v>11.7</v>
      </c>
      <c r="AL768" s="3">
        <v>46301.25</v>
      </c>
      <c r="AM768">
        <v>1</v>
      </c>
      <c r="AO768" t="s">
        <v>112</v>
      </c>
      <c r="AP768" t="s">
        <v>112</v>
      </c>
      <c r="AQ768" t="s">
        <v>113</v>
      </c>
      <c r="AR768">
        <v>1</v>
      </c>
      <c r="AS768" t="b">
        <f>FALSE()</f>
        <v>0</v>
      </c>
      <c r="AT768" t="s">
        <v>114</v>
      </c>
      <c r="AU768" t="b">
        <f>TRUE()</f>
        <v>1</v>
      </c>
      <c r="AV768" t="b">
        <f>FALSE()</f>
        <v>0</v>
      </c>
      <c r="AW768" s="5">
        <v>0</v>
      </c>
      <c r="AY768" t="str">
        <f t="shared" si="0"/>
        <v>2.1.10</v>
      </c>
      <c r="AZ768" t="str">
        <f t="shared" si="1"/>
        <v>NÃO</v>
      </c>
      <c r="BA768" t="str">
        <f t="shared" si="2"/>
        <v>NÃO</v>
      </c>
      <c r="BB768" t="str">
        <f t="shared" si="3"/>
        <v>OUTROS STATUS</v>
      </c>
    </row>
    <row r="769" spans="1:54" ht="15" customHeight="1" x14ac:dyDescent="0.3">
      <c r="A769">
        <v>1</v>
      </c>
      <c r="B769">
        <v>15</v>
      </c>
      <c r="C769" t="s">
        <v>54</v>
      </c>
      <c r="D769" s="3">
        <v>46301.424236111103</v>
      </c>
      <c r="E769" s="4">
        <v>46301</v>
      </c>
      <c r="F769" t="s">
        <v>149</v>
      </c>
      <c r="G769" t="s">
        <v>56</v>
      </c>
      <c r="H769" t="s">
        <v>150</v>
      </c>
      <c r="I769" t="s">
        <v>151</v>
      </c>
      <c r="J769" t="s">
        <v>59</v>
      </c>
      <c r="L769" t="s">
        <v>106</v>
      </c>
      <c r="M769" t="s">
        <v>62</v>
      </c>
      <c r="O769" t="s">
        <v>159</v>
      </c>
      <c r="P769" t="s">
        <v>160</v>
      </c>
      <c r="Q769" s="5">
        <v>1</v>
      </c>
      <c r="R769" s="6">
        <v>580</v>
      </c>
      <c r="S769" s="6">
        <v>580</v>
      </c>
      <c r="T769" s="6">
        <v>290</v>
      </c>
      <c r="U769" s="3">
        <v>46301.25</v>
      </c>
      <c r="W769" s="7" t="s">
        <v>152</v>
      </c>
      <c r="X769" t="s">
        <v>70</v>
      </c>
      <c r="Y769" t="s">
        <v>23</v>
      </c>
      <c r="Z769" t="s">
        <v>69</v>
      </c>
      <c r="AA769" t="s">
        <v>67</v>
      </c>
      <c r="AB769" t="s">
        <v>70</v>
      </c>
      <c r="AC769" t="s">
        <v>71</v>
      </c>
      <c r="AD769" t="s">
        <v>102</v>
      </c>
      <c r="AE769" t="s">
        <v>67</v>
      </c>
      <c r="AG769" t="b">
        <f>FALSE()</f>
        <v>0</v>
      </c>
      <c r="AH769" t="b">
        <f>FALSE()</f>
        <v>0</v>
      </c>
      <c r="AI769" t="b">
        <f>FALSE()</f>
        <v>0</v>
      </c>
      <c r="AJ769" t="b">
        <f>FALSE()</f>
        <v>0</v>
      </c>
      <c r="AK769" s="6">
        <v>290</v>
      </c>
      <c r="AL769" s="3">
        <v>46301.25</v>
      </c>
      <c r="AM769">
        <v>1</v>
      </c>
      <c r="AO769" t="s">
        <v>112</v>
      </c>
      <c r="AP769" t="s">
        <v>112</v>
      </c>
      <c r="AQ769" t="s">
        <v>113</v>
      </c>
      <c r="AR769">
        <v>1</v>
      </c>
      <c r="AS769" t="b">
        <f>FALSE()</f>
        <v>0</v>
      </c>
      <c r="AT769" t="s">
        <v>114</v>
      </c>
      <c r="AU769" t="b">
        <f>TRUE()</f>
        <v>1</v>
      </c>
      <c r="AV769" t="b">
        <f>FALSE()</f>
        <v>0</v>
      </c>
      <c r="AW769" s="5">
        <v>0</v>
      </c>
      <c r="AY769" t="str">
        <f t="shared" si="0"/>
        <v>2.1.10</v>
      </c>
      <c r="AZ769" t="str">
        <f t="shared" si="1"/>
        <v>NÃO</v>
      </c>
      <c r="BA769" t="str">
        <f t="shared" si="2"/>
        <v>NÃO</v>
      </c>
      <c r="BB769" t="str">
        <f t="shared" si="3"/>
        <v>OUTROS STATUS</v>
      </c>
    </row>
    <row r="770" spans="1:54" ht="15" customHeight="1" x14ac:dyDescent="0.3">
      <c r="A770">
        <v>1</v>
      </c>
      <c r="B770">
        <v>15</v>
      </c>
      <c r="C770" t="s">
        <v>54</v>
      </c>
      <c r="D770" s="3">
        <v>46301.511099536998</v>
      </c>
      <c r="E770" s="4">
        <v>46301</v>
      </c>
      <c r="F770" t="s">
        <v>161</v>
      </c>
      <c r="G770" t="s">
        <v>56</v>
      </c>
      <c r="H770" t="s">
        <v>162</v>
      </c>
      <c r="I770" t="s">
        <v>163</v>
      </c>
      <c r="J770" t="s">
        <v>59</v>
      </c>
      <c r="K770" t="s">
        <v>164</v>
      </c>
      <c r="L770" t="s">
        <v>61</v>
      </c>
      <c r="M770" t="s">
        <v>62</v>
      </c>
      <c r="N770" t="s">
        <v>62</v>
      </c>
      <c r="O770" t="s">
        <v>165</v>
      </c>
      <c r="P770" t="s">
        <v>166</v>
      </c>
      <c r="Q770" s="5">
        <v>2</v>
      </c>
      <c r="R770" s="6">
        <v>87</v>
      </c>
      <c r="S770" s="6">
        <v>174</v>
      </c>
      <c r="T770" s="6">
        <v>63</v>
      </c>
      <c r="U770" s="3">
        <v>46335.458333333299</v>
      </c>
      <c r="W770" s="7" t="s">
        <v>167</v>
      </c>
      <c r="X770" t="s">
        <v>70</v>
      </c>
      <c r="Y770" t="s">
        <v>68</v>
      </c>
      <c r="Z770" t="s">
        <v>69</v>
      </c>
      <c r="AA770" t="s">
        <v>67</v>
      </c>
      <c r="AB770" t="s">
        <v>70</v>
      </c>
      <c r="AC770" t="s">
        <v>71</v>
      </c>
      <c r="AD770" t="s">
        <v>77</v>
      </c>
      <c r="AE770" t="s">
        <v>67</v>
      </c>
      <c r="AF770" t="s">
        <v>168</v>
      </c>
      <c r="AG770" t="b">
        <f>FALSE()</f>
        <v>0</v>
      </c>
      <c r="AH770" t="b">
        <f>FALSE()</f>
        <v>0</v>
      </c>
      <c r="AI770" t="b">
        <f>FALSE()</f>
        <v>0</v>
      </c>
      <c r="AJ770" t="b">
        <f>FALSE()</f>
        <v>0</v>
      </c>
      <c r="AK770" s="6">
        <v>31.5</v>
      </c>
      <c r="AL770" s="3">
        <v>46335.458333333299</v>
      </c>
      <c r="AM770">
        <v>1</v>
      </c>
      <c r="AS770" t="b">
        <f>FALSE()</f>
        <v>0</v>
      </c>
      <c r="AT770" t="s">
        <v>74</v>
      </c>
      <c r="AU770" t="b">
        <f>TRUE()</f>
        <v>1</v>
      </c>
      <c r="AV770" t="b">
        <f>FALSE()</f>
        <v>0</v>
      </c>
      <c r="AW770" s="5">
        <v>0</v>
      </c>
      <c r="AY770" t="str">
        <f t="shared" si="0"/>
        <v>2.1.10</v>
      </c>
      <c r="AZ770" t="str">
        <f t="shared" si="1"/>
        <v/>
      </c>
      <c r="BA770" t="str">
        <f t="shared" si="2"/>
        <v/>
      </c>
      <c r="BB770" t="str">
        <f t="shared" si="3"/>
        <v>SEM PRÓTESE</v>
      </c>
    </row>
    <row r="771" spans="1:54" ht="15" customHeight="1" x14ac:dyDescent="0.3">
      <c r="A771">
        <v>1</v>
      </c>
      <c r="B771">
        <v>15</v>
      </c>
      <c r="C771" t="s">
        <v>54</v>
      </c>
      <c r="D771" s="3">
        <v>46301.511099536998</v>
      </c>
      <c r="E771" s="4">
        <v>46301</v>
      </c>
      <c r="F771" t="s">
        <v>161</v>
      </c>
      <c r="G771" t="s">
        <v>56</v>
      </c>
      <c r="H771" t="s">
        <v>162</v>
      </c>
      <c r="I771" t="s">
        <v>163</v>
      </c>
      <c r="J771" t="s">
        <v>59</v>
      </c>
      <c r="K771" t="s">
        <v>164</v>
      </c>
      <c r="L771" t="s">
        <v>61</v>
      </c>
      <c r="M771" t="s">
        <v>62</v>
      </c>
      <c r="N771" t="s">
        <v>62</v>
      </c>
      <c r="O771" t="s">
        <v>169</v>
      </c>
      <c r="P771" t="s">
        <v>170</v>
      </c>
      <c r="Q771" s="5">
        <v>2</v>
      </c>
      <c r="R771" s="6">
        <v>87</v>
      </c>
      <c r="S771" s="6">
        <v>174</v>
      </c>
      <c r="T771" s="6">
        <v>63</v>
      </c>
      <c r="U771" s="3">
        <v>46335.458333333299</v>
      </c>
      <c r="W771" s="7" t="s">
        <v>167</v>
      </c>
      <c r="X771" t="s">
        <v>70</v>
      </c>
      <c r="Y771" t="s">
        <v>68</v>
      </c>
      <c r="Z771" t="s">
        <v>69</v>
      </c>
      <c r="AA771" t="s">
        <v>67</v>
      </c>
      <c r="AB771" t="s">
        <v>70</v>
      </c>
      <c r="AC771" t="s">
        <v>71</v>
      </c>
      <c r="AD771" t="s">
        <v>77</v>
      </c>
      <c r="AE771" t="s">
        <v>67</v>
      </c>
      <c r="AF771" t="s">
        <v>171</v>
      </c>
      <c r="AG771" t="b">
        <f>FALSE()</f>
        <v>0</v>
      </c>
      <c r="AH771" t="b">
        <f>FALSE()</f>
        <v>0</v>
      </c>
      <c r="AI771" t="b">
        <f>FALSE()</f>
        <v>0</v>
      </c>
      <c r="AJ771" t="b">
        <f>FALSE()</f>
        <v>0</v>
      </c>
      <c r="AK771" s="6">
        <v>31.5</v>
      </c>
      <c r="AL771" s="3">
        <v>46335.458333333299</v>
      </c>
      <c r="AM771">
        <v>1</v>
      </c>
      <c r="AS771" t="b">
        <f>FALSE()</f>
        <v>0</v>
      </c>
      <c r="AT771" t="s">
        <v>74</v>
      </c>
      <c r="AU771" t="b">
        <f>TRUE()</f>
        <v>1</v>
      </c>
      <c r="AV771" t="b">
        <f>FALSE()</f>
        <v>0</v>
      </c>
      <c r="AW771" s="5">
        <v>0</v>
      </c>
      <c r="AY771" t="str">
        <f t="shared" si="0"/>
        <v>2.1.10</v>
      </c>
      <c r="AZ771" t="str">
        <f t="shared" si="1"/>
        <v/>
      </c>
      <c r="BA771" t="str">
        <f t="shared" si="2"/>
        <v/>
      </c>
      <c r="BB771" t="str">
        <f t="shared" si="3"/>
        <v>SEM PRÓTESE</v>
      </c>
    </row>
    <row r="772" spans="1:54" ht="15" customHeight="1" x14ac:dyDescent="0.3">
      <c r="A772">
        <v>1</v>
      </c>
      <c r="B772">
        <v>15</v>
      </c>
      <c r="C772" t="s">
        <v>54</v>
      </c>
      <c r="D772" s="3">
        <v>46301.511099536998</v>
      </c>
      <c r="E772" s="4">
        <v>46301</v>
      </c>
      <c r="F772" t="s">
        <v>161</v>
      </c>
      <c r="G772" t="s">
        <v>56</v>
      </c>
      <c r="H772" t="s">
        <v>162</v>
      </c>
      <c r="I772" t="s">
        <v>163</v>
      </c>
      <c r="J772" t="s">
        <v>59</v>
      </c>
      <c r="K772" t="s">
        <v>164</v>
      </c>
      <c r="L772" t="s">
        <v>61</v>
      </c>
      <c r="M772" t="s">
        <v>62</v>
      </c>
      <c r="N772" t="s">
        <v>62</v>
      </c>
      <c r="O772" t="s">
        <v>121</v>
      </c>
      <c r="P772" t="s">
        <v>122</v>
      </c>
      <c r="Q772" s="5">
        <v>1</v>
      </c>
      <c r="R772" s="6">
        <v>320</v>
      </c>
      <c r="S772" s="6">
        <v>320</v>
      </c>
      <c r="T772" s="6">
        <v>200</v>
      </c>
      <c r="U772" s="3">
        <v>46335.458333333299</v>
      </c>
      <c r="W772" s="7" t="s">
        <v>167</v>
      </c>
      <c r="X772" t="s">
        <v>70</v>
      </c>
      <c r="Y772" t="s">
        <v>23</v>
      </c>
      <c r="Z772" t="s">
        <v>69</v>
      </c>
      <c r="AA772" t="s">
        <v>67</v>
      </c>
      <c r="AB772" t="s">
        <v>70</v>
      </c>
      <c r="AC772" t="s">
        <v>71</v>
      </c>
      <c r="AE772" t="s">
        <v>67</v>
      </c>
      <c r="AG772" t="b">
        <f>FALSE()</f>
        <v>0</v>
      </c>
      <c r="AH772" t="b">
        <f>FALSE()</f>
        <v>0</v>
      </c>
      <c r="AI772" t="b">
        <f>FALSE()</f>
        <v>0</v>
      </c>
      <c r="AJ772" t="b">
        <f>FALSE()</f>
        <v>0</v>
      </c>
      <c r="AK772" s="6">
        <v>200</v>
      </c>
      <c r="AL772" s="3">
        <v>46335.458333333299</v>
      </c>
      <c r="AM772">
        <v>1</v>
      </c>
      <c r="AS772" t="b">
        <f>FALSE()</f>
        <v>0</v>
      </c>
      <c r="AT772" t="s">
        <v>74</v>
      </c>
      <c r="AU772" t="b">
        <f>TRUE()</f>
        <v>1</v>
      </c>
      <c r="AV772" t="b">
        <f>FALSE()</f>
        <v>0</v>
      </c>
      <c r="AW772" s="5">
        <v>0</v>
      </c>
      <c r="AY772" t="str">
        <f t="shared" si="0"/>
        <v>2.1.10</v>
      </c>
      <c r="AZ772" t="str">
        <f t="shared" si="1"/>
        <v/>
      </c>
      <c r="BA772" t="str">
        <f t="shared" si="2"/>
        <v/>
      </c>
      <c r="BB772" t="str">
        <f t="shared" si="3"/>
        <v>SEM PRÓTESE</v>
      </c>
    </row>
    <row r="773" spans="1:54" ht="15" customHeight="1" x14ac:dyDescent="0.3">
      <c r="A773">
        <v>1</v>
      </c>
      <c r="B773">
        <v>15</v>
      </c>
      <c r="C773" t="s">
        <v>54</v>
      </c>
      <c r="D773" s="3">
        <v>46301.511099536998</v>
      </c>
      <c r="E773" s="4">
        <v>46301</v>
      </c>
      <c r="F773" t="s">
        <v>161</v>
      </c>
      <c r="G773" t="s">
        <v>56</v>
      </c>
      <c r="H773" t="s">
        <v>162</v>
      </c>
      <c r="I773" t="s">
        <v>163</v>
      </c>
      <c r="J773" t="s">
        <v>59</v>
      </c>
      <c r="K773" t="s">
        <v>164</v>
      </c>
      <c r="L773" t="s">
        <v>61</v>
      </c>
      <c r="M773" t="s">
        <v>62</v>
      </c>
      <c r="N773" t="s">
        <v>62</v>
      </c>
      <c r="O773" t="s">
        <v>172</v>
      </c>
      <c r="P773" t="s">
        <v>173</v>
      </c>
      <c r="Q773" s="5">
        <v>1</v>
      </c>
      <c r="R773" s="6">
        <v>570</v>
      </c>
      <c r="S773" s="6">
        <v>570</v>
      </c>
      <c r="T773" s="6">
        <v>200.25</v>
      </c>
      <c r="U773" s="3">
        <v>46335.458333333299</v>
      </c>
      <c r="W773" s="7" t="s">
        <v>167</v>
      </c>
      <c r="X773" t="s">
        <v>70</v>
      </c>
      <c r="Y773" t="s">
        <v>68</v>
      </c>
      <c r="Z773" t="s">
        <v>69</v>
      </c>
      <c r="AA773" t="s">
        <v>67</v>
      </c>
      <c r="AB773" t="s">
        <v>70</v>
      </c>
      <c r="AC773" t="s">
        <v>71</v>
      </c>
      <c r="AD773" t="s">
        <v>77</v>
      </c>
      <c r="AE773" t="s">
        <v>67</v>
      </c>
      <c r="AF773" t="s">
        <v>174</v>
      </c>
      <c r="AG773" t="b">
        <f>FALSE()</f>
        <v>0</v>
      </c>
      <c r="AH773" t="b">
        <f>FALSE()</f>
        <v>0</v>
      </c>
      <c r="AI773" t="b">
        <f>FALSE()</f>
        <v>0</v>
      </c>
      <c r="AJ773" t="b">
        <f>FALSE()</f>
        <v>0</v>
      </c>
      <c r="AK773" s="6">
        <v>200.25</v>
      </c>
      <c r="AL773" s="3">
        <v>46335.458333333299</v>
      </c>
      <c r="AM773">
        <v>1</v>
      </c>
      <c r="AS773" t="b">
        <f>FALSE()</f>
        <v>0</v>
      </c>
      <c r="AT773" t="s">
        <v>74</v>
      </c>
      <c r="AU773" t="b">
        <f>TRUE()</f>
        <v>1</v>
      </c>
      <c r="AV773" t="b">
        <f>FALSE()</f>
        <v>0</v>
      </c>
      <c r="AW773" s="5">
        <v>0</v>
      </c>
      <c r="AY773" t="str">
        <f t="shared" si="0"/>
        <v>2.1.10</v>
      </c>
      <c r="AZ773" t="str">
        <f t="shared" si="1"/>
        <v/>
      </c>
      <c r="BA773" t="str">
        <f t="shared" si="2"/>
        <v/>
      </c>
      <c r="BB773" t="str">
        <f t="shared" si="3"/>
        <v>SEM PRÓTESE</v>
      </c>
    </row>
    <row r="774" spans="1:54" ht="15" customHeight="1" x14ac:dyDescent="0.3">
      <c r="A774">
        <v>1</v>
      </c>
      <c r="B774">
        <v>15</v>
      </c>
      <c r="C774" t="s">
        <v>54</v>
      </c>
      <c r="D774" s="3">
        <v>46301.511099536998</v>
      </c>
      <c r="E774" s="4">
        <v>46301</v>
      </c>
      <c r="F774" t="s">
        <v>161</v>
      </c>
      <c r="G774" t="s">
        <v>56</v>
      </c>
      <c r="H774" t="s">
        <v>162</v>
      </c>
      <c r="I774" t="s">
        <v>163</v>
      </c>
      <c r="J774" t="s">
        <v>59</v>
      </c>
      <c r="K774" t="s">
        <v>164</v>
      </c>
      <c r="L774" t="s">
        <v>61</v>
      </c>
      <c r="M774" t="s">
        <v>62</v>
      </c>
      <c r="N774" t="s">
        <v>62</v>
      </c>
      <c r="O774" t="s">
        <v>175</v>
      </c>
      <c r="P774" t="s">
        <v>176</v>
      </c>
      <c r="Q774" s="5">
        <v>1</v>
      </c>
      <c r="R774" s="6">
        <v>570</v>
      </c>
      <c r="S774" s="6">
        <v>570</v>
      </c>
      <c r="T774" s="6">
        <v>200.25</v>
      </c>
      <c r="U774" s="3">
        <v>46335.458333333299</v>
      </c>
      <c r="W774" s="7" t="s">
        <v>167</v>
      </c>
      <c r="X774" t="s">
        <v>70</v>
      </c>
      <c r="Y774" t="s">
        <v>68</v>
      </c>
      <c r="Z774" t="s">
        <v>69</v>
      </c>
      <c r="AA774" t="s">
        <v>67</v>
      </c>
      <c r="AB774" t="s">
        <v>70</v>
      </c>
      <c r="AC774" t="s">
        <v>71</v>
      </c>
      <c r="AD774" t="s">
        <v>77</v>
      </c>
      <c r="AE774" t="s">
        <v>67</v>
      </c>
      <c r="AF774" t="s">
        <v>177</v>
      </c>
      <c r="AG774" t="b">
        <f>FALSE()</f>
        <v>0</v>
      </c>
      <c r="AH774" t="b">
        <f>FALSE()</f>
        <v>0</v>
      </c>
      <c r="AI774" t="b">
        <f>FALSE()</f>
        <v>0</v>
      </c>
      <c r="AJ774" t="b">
        <f>FALSE()</f>
        <v>0</v>
      </c>
      <c r="AK774" s="6">
        <v>200.25</v>
      </c>
      <c r="AL774" s="3">
        <v>46335.458333333299</v>
      </c>
      <c r="AM774">
        <v>1</v>
      </c>
      <c r="AS774" t="b">
        <f>FALSE()</f>
        <v>0</v>
      </c>
      <c r="AT774" t="s">
        <v>74</v>
      </c>
      <c r="AU774" t="b">
        <f>TRUE()</f>
        <v>1</v>
      </c>
      <c r="AV774" t="b">
        <f>FALSE()</f>
        <v>0</v>
      </c>
      <c r="AW774" s="5">
        <v>0</v>
      </c>
      <c r="AY774" t="str">
        <f t="shared" ref="AY774:AY793" si="4">IF(TRIM(Z774&amp;"")="","",TRIM(RIGHT(SUBSTITUTE(TRIM(Z774)," -&gt; ",REPT(" ",130)),130)))</f>
        <v>2.1.10</v>
      </c>
      <c r="AZ774" t="str">
        <f t="shared" ref="AZ774:AZ793" si="5">IF(TRIM(AP774&amp;"")="","",IF(ISNUMBER(SEARCH(" -&gt; LIBERADO PARA O FINANCEIRO -&gt; "," -&gt; "&amp;AP774&amp;" -&gt; ")),"SIM","NÃO"))</f>
        <v/>
      </c>
      <c r="BA774" t="str">
        <f t="shared" ref="BA774:BA793" si="6">IF(TRIM(AP774&amp;"")="","",IF(ISNUMBER(SEARCH(" -&gt; PAGO -&gt; "," -&gt; "&amp;AP774&amp;" -&gt; ")),"SIM","NÃO"))</f>
        <v/>
      </c>
      <c r="BB774" t="str">
        <f t="shared" ref="BB774:BB805" si="7">IF(TRIM(AP774&amp;"")="","SEM PRÓTESE",IF(BA774="SIM","PAGO",IF(AZ774="SIM","LIBERADO PARA O FINANCEIRO","OUTROS STATUS")))</f>
        <v>SEM PRÓTESE</v>
      </c>
    </row>
    <row r="775" spans="1:54" ht="15" customHeight="1" x14ac:dyDescent="0.3">
      <c r="A775">
        <v>1</v>
      </c>
      <c r="B775">
        <v>15</v>
      </c>
      <c r="C775" t="s">
        <v>54</v>
      </c>
      <c r="D775" s="3">
        <v>46301.511099536998</v>
      </c>
      <c r="E775" s="4">
        <v>46301</v>
      </c>
      <c r="F775" t="s">
        <v>161</v>
      </c>
      <c r="G775" t="s">
        <v>56</v>
      </c>
      <c r="H775" t="s">
        <v>162</v>
      </c>
      <c r="I775" t="s">
        <v>163</v>
      </c>
      <c r="J775" t="s">
        <v>59</v>
      </c>
      <c r="K775" t="s">
        <v>164</v>
      </c>
      <c r="L775" t="s">
        <v>61</v>
      </c>
      <c r="M775" t="s">
        <v>62</v>
      </c>
      <c r="N775" t="s">
        <v>62</v>
      </c>
      <c r="O775" t="s">
        <v>82</v>
      </c>
      <c r="P775" t="s">
        <v>83</v>
      </c>
      <c r="Q775" s="5">
        <v>1</v>
      </c>
      <c r="R775" s="6">
        <v>140</v>
      </c>
      <c r="S775" s="6">
        <v>140</v>
      </c>
      <c r="T775" s="6">
        <v>93.1</v>
      </c>
      <c r="U775" s="3">
        <v>46335.458333333299</v>
      </c>
      <c r="W775" s="7" t="s">
        <v>167</v>
      </c>
      <c r="X775" t="s">
        <v>70</v>
      </c>
      <c r="Y775" t="s">
        <v>68</v>
      </c>
      <c r="Z775" t="s">
        <v>69</v>
      </c>
      <c r="AA775" t="s">
        <v>67</v>
      </c>
      <c r="AB775" t="s">
        <v>70</v>
      </c>
      <c r="AC775" t="s">
        <v>71</v>
      </c>
      <c r="AD775" t="s">
        <v>84</v>
      </c>
      <c r="AE775" t="s">
        <v>67</v>
      </c>
      <c r="AF775" t="s">
        <v>82</v>
      </c>
      <c r="AG775" t="b">
        <f>FALSE()</f>
        <v>0</v>
      </c>
      <c r="AH775" t="b">
        <f>FALSE()</f>
        <v>0</v>
      </c>
      <c r="AI775" t="b">
        <f>FALSE()</f>
        <v>0</v>
      </c>
      <c r="AJ775" t="b">
        <f>FALSE()</f>
        <v>0</v>
      </c>
      <c r="AK775" s="6">
        <v>93.1</v>
      </c>
      <c r="AL775" s="3">
        <v>46335.458333333299</v>
      </c>
      <c r="AM775">
        <v>1</v>
      </c>
      <c r="AS775" t="b">
        <f>FALSE()</f>
        <v>0</v>
      </c>
      <c r="AT775" t="s">
        <v>74</v>
      </c>
      <c r="AU775" t="b">
        <f>TRUE()</f>
        <v>1</v>
      </c>
      <c r="AV775" t="b">
        <f>FALSE()</f>
        <v>0</v>
      </c>
      <c r="AW775" s="5">
        <v>0</v>
      </c>
      <c r="AY775" t="str">
        <f t="shared" si="4"/>
        <v>2.1.10</v>
      </c>
      <c r="AZ775" t="str">
        <f t="shared" si="5"/>
        <v/>
      </c>
      <c r="BA775" t="str">
        <f t="shared" si="6"/>
        <v/>
      </c>
      <c r="BB775" t="str">
        <f t="shared" si="7"/>
        <v>SEM PRÓTESE</v>
      </c>
    </row>
    <row r="776" spans="1:54" ht="15" customHeight="1" x14ac:dyDescent="0.3">
      <c r="A776">
        <v>1</v>
      </c>
      <c r="B776">
        <v>15</v>
      </c>
      <c r="C776" t="s">
        <v>54</v>
      </c>
      <c r="D776" s="3">
        <v>46301.511099536998</v>
      </c>
      <c r="E776" s="4">
        <v>46301</v>
      </c>
      <c r="F776" t="s">
        <v>161</v>
      </c>
      <c r="G776" t="s">
        <v>56</v>
      </c>
      <c r="H776" t="s">
        <v>162</v>
      </c>
      <c r="I776" t="s">
        <v>163</v>
      </c>
      <c r="J776" t="s">
        <v>59</v>
      </c>
      <c r="K776" t="s">
        <v>164</v>
      </c>
      <c r="L776" t="s">
        <v>61</v>
      </c>
      <c r="M776" t="s">
        <v>62</v>
      </c>
      <c r="N776" t="s">
        <v>62</v>
      </c>
      <c r="O776" t="s">
        <v>85</v>
      </c>
      <c r="P776" t="s">
        <v>86</v>
      </c>
      <c r="Q776" s="5">
        <v>4</v>
      </c>
      <c r="R776" s="6">
        <v>33</v>
      </c>
      <c r="S776" s="6">
        <v>132</v>
      </c>
      <c r="T776" s="6">
        <v>46.8</v>
      </c>
      <c r="U776" s="3">
        <v>46335.458333333299</v>
      </c>
      <c r="W776" s="7" t="s">
        <v>167</v>
      </c>
      <c r="X776" t="s">
        <v>70</v>
      </c>
      <c r="Y776" t="s">
        <v>68</v>
      </c>
      <c r="Z776" t="s">
        <v>69</v>
      </c>
      <c r="AA776" t="s">
        <v>67</v>
      </c>
      <c r="AB776" t="s">
        <v>70</v>
      </c>
      <c r="AC776" t="s">
        <v>71</v>
      </c>
      <c r="AD776" t="s">
        <v>77</v>
      </c>
      <c r="AE776" t="s">
        <v>70</v>
      </c>
      <c r="AF776" t="s">
        <v>87</v>
      </c>
      <c r="AG776" t="b">
        <f>FALSE()</f>
        <v>0</v>
      </c>
      <c r="AH776" t="b">
        <f>FALSE()</f>
        <v>0</v>
      </c>
      <c r="AI776" t="b">
        <f>FALSE()</f>
        <v>0</v>
      </c>
      <c r="AJ776" t="b">
        <f>FALSE()</f>
        <v>0</v>
      </c>
      <c r="AK776" s="6">
        <v>11.7</v>
      </c>
      <c r="AL776" s="3">
        <v>46335.458333333299</v>
      </c>
      <c r="AM776">
        <v>1</v>
      </c>
      <c r="AS776" t="b">
        <f>FALSE()</f>
        <v>0</v>
      </c>
      <c r="AT776" t="s">
        <v>74</v>
      </c>
      <c r="AU776" t="b">
        <f>TRUE()</f>
        <v>1</v>
      </c>
      <c r="AV776" t="b">
        <f>FALSE()</f>
        <v>0</v>
      </c>
      <c r="AW776" s="5">
        <v>0</v>
      </c>
      <c r="AY776" t="str">
        <f t="shared" si="4"/>
        <v>2.1.10</v>
      </c>
      <c r="AZ776" t="str">
        <f t="shared" si="5"/>
        <v/>
      </c>
      <c r="BA776" t="str">
        <f t="shared" si="6"/>
        <v/>
      </c>
      <c r="BB776" t="str">
        <f t="shared" si="7"/>
        <v>SEM PRÓTESE</v>
      </c>
    </row>
    <row r="777" spans="1:54" ht="15" customHeight="1" x14ac:dyDescent="0.3">
      <c r="A777">
        <v>1</v>
      </c>
      <c r="B777">
        <v>15</v>
      </c>
      <c r="C777" t="s">
        <v>54</v>
      </c>
      <c r="D777" s="3">
        <v>46301.442326388897</v>
      </c>
      <c r="E777" s="4">
        <v>46301</v>
      </c>
      <c r="F777" t="s">
        <v>178</v>
      </c>
      <c r="G777" t="s">
        <v>56</v>
      </c>
      <c r="H777" t="s">
        <v>179</v>
      </c>
      <c r="I777" t="s">
        <v>180</v>
      </c>
      <c r="J777" t="s">
        <v>59</v>
      </c>
      <c r="K777" t="s">
        <v>164</v>
      </c>
      <c r="L777" t="s">
        <v>61</v>
      </c>
      <c r="M777" t="s">
        <v>181</v>
      </c>
      <c r="N777" t="s">
        <v>63</v>
      </c>
      <c r="O777" t="s">
        <v>182</v>
      </c>
      <c r="P777" t="s">
        <v>183</v>
      </c>
      <c r="Q777" s="5">
        <v>1</v>
      </c>
      <c r="R777" s="6">
        <v>84.18</v>
      </c>
      <c r="S777" s="6">
        <v>84.18</v>
      </c>
      <c r="T777" s="6">
        <v>24.8</v>
      </c>
      <c r="U777" s="3">
        <v>46335.541666666701</v>
      </c>
      <c r="W777" s="7" t="s">
        <v>184</v>
      </c>
      <c r="X777" t="s">
        <v>70</v>
      </c>
      <c r="Y777" t="s">
        <v>68</v>
      </c>
      <c r="Z777" t="s">
        <v>69</v>
      </c>
      <c r="AA777" t="s">
        <v>67</v>
      </c>
      <c r="AB777" t="s">
        <v>70</v>
      </c>
      <c r="AC777" t="s">
        <v>71</v>
      </c>
      <c r="AD777" t="s">
        <v>185</v>
      </c>
      <c r="AE777" t="s">
        <v>67</v>
      </c>
      <c r="AF777" t="s">
        <v>186</v>
      </c>
      <c r="AG777" t="b">
        <f>FALSE()</f>
        <v>0</v>
      </c>
      <c r="AH777" t="b">
        <f>TRUE()</f>
        <v>1</v>
      </c>
      <c r="AI777" t="b">
        <f>TRUE()</f>
        <v>1</v>
      </c>
      <c r="AJ777" t="b">
        <f>TRUE()</f>
        <v>1</v>
      </c>
      <c r="AK777" s="6">
        <v>24.8</v>
      </c>
      <c r="AL777" s="3">
        <v>46335.541666666701</v>
      </c>
      <c r="AM777">
        <v>1</v>
      </c>
      <c r="AS777" t="b">
        <f>FALSE()</f>
        <v>0</v>
      </c>
      <c r="AT777" t="s">
        <v>74</v>
      </c>
      <c r="AU777" t="b">
        <f>TRUE()</f>
        <v>1</v>
      </c>
      <c r="AV777" t="b">
        <f>FALSE()</f>
        <v>0</v>
      </c>
      <c r="AW777" s="5">
        <v>0</v>
      </c>
      <c r="AY777" t="str">
        <f t="shared" si="4"/>
        <v>2.1.10</v>
      </c>
      <c r="AZ777" t="str">
        <f t="shared" si="5"/>
        <v/>
      </c>
      <c r="BA777" t="str">
        <f t="shared" si="6"/>
        <v/>
      </c>
      <c r="BB777" t="str">
        <f t="shared" si="7"/>
        <v>SEM PRÓTESE</v>
      </c>
    </row>
    <row r="778" spans="1:54" ht="15" customHeight="1" x14ac:dyDescent="0.3">
      <c r="A778">
        <v>1</v>
      </c>
      <c r="B778">
        <v>15</v>
      </c>
      <c r="C778" t="s">
        <v>54</v>
      </c>
      <c r="D778" s="3">
        <v>46301.442326388897</v>
      </c>
      <c r="E778" s="4">
        <v>46301</v>
      </c>
      <c r="F778" t="s">
        <v>178</v>
      </c>
      <c r="G778" t="s">
        <v>56</v>
      </c>
      <c r="H778" t="s">
        <v>179</v>
      </c>
      <c r="I778" t="s">
        <v>180</v>
      </c>
      <c r="J778" t="s">
        <v>59</v>
      </c>
      <c r="K778" t="s">
        <v>164</v>
      </c>
      <c r="L778" t="s">
        <v>61</v>
      </c>
      <c r="M778" t="s">
        <v>181</v>
      </c>
      <c r="N778" t="s">
        <v>63</v>
      </c>
      <c r="O778" t="s">
        <v>187</v>
      </c>
      <c r="P778" t="s">
        <v>188</v>
      </c>
      <c r="Q778" s="5">
        <v>1</v>
      </c>
      <c r="R778" s="6">
        <v>64.66</v>
      </c>
      <c r="S778" s="6">
        <v>64.66</v>
      </c>
      <c r="T778" s="6">
        <v>19.2</v>
      </c>
      <c r="U778" s="3">
        <v>46335.541666666701</v>
      </c>
      <c r="W778" s="7" t="s">
        <v>184</v>
      </c>
      <c r="X778" t="s">
        <v>70</v>
      </c>
      <c r="Y778" t="s">
        <v>68</v>
      </c>
      <c r="Z778" t="s">
        <v>69</v>
      </c>
      <c r="AA778" t="s">
        <v>67</v>
      </c>
      <c r="AB778" t="s">
        <v>70</v>
      </c>
      <c r="AC778" t="s">
        <v>71</v>
      </c>
      <c r="AD778" t="s">
        <v>185</v>
      </c>
      <c r="AE778" t="s">
        <v>67</v>
      </c>
      <c r="AF778" t="s">
        <v>189</v>
      </c>
      <c r="AG778" t="b">
        <f>FALSE()</f>
        <v>0</v>
      </c>
      <c r="AH778" t="b">
        <f>TRUE()</f>
        <v>1</v>
      </c>
      <c r="AI778" t="b">
        <f>TRUE()</f>
        <v>1</v>
      </c>
      <c r="AJ778" t="b">
        <f>TRUE()</f>
        <v>1</v>
      </c>
      <c r="AK778" s="6">
        <v>19.2</v>
      </c>
      <c r="AL778" s="3">
        <v>46335.541666666701</v>
      </c>
      <c r="AM778">
        <v>1</v>
      </c>
      <c r="AS778" t="b">
        <f>FALSE()</f>
        <v>0</v>
      </c>
      <c r="AT778" t="s">
        <v>74</v>
      </c>
      <c r="AU778" t="b">
        <f>TRUE()</f>
        <v>1</v>
      </c>
      <c r="AV778" t="b">
        <f>FALSE()</f>
        <v>0</v>
      </c>
      <c r="AW778" s="5">
        <v>0</v>
      </c>
      <c r="AY778" t="str">
        <f t="shared" si="4"/>
        <v>2.1.10</v>
      </c>
      <c r="AZ778" t="str">
        <f t="shared" si="5"/>
        <v/>
      </c>
      <c r="BA778" t="str">
        <f t="shared" si="6"/>
        <v/>
      </c>
      <c r="BB778" t="str">
        <f t="shared" si="7"/>
        <v>SEM PRÓTESE</v>
      </c>
    </row>
    <row r="779" spans="1:54" ht="15" customHeight="1" x14ac:dyDescent="0.3">
      <c r="A779">
        <v>1</v>
      </c>
      <c r="B779">
        <v>15</v>
      </c>
      <c r="C779" t="s">
        <v>54</v>
      </c>
      <c r="D779" s="3">
        <v>46301.442326388897</v>
      </c>
      <c r="E779" s="4">
        <v>46301</v>
      </c>
      <c r="F779" t="s">
        <v>178</v>
      </c>
      <c r="G779" t="s">
        <v>56</v>
      </c>
      <c r="H779" t="s">
        <v>179</v>
      </c>
      <c r="I779" t="s">
        <v>180</v>
      </c>
      <c r="J779" t="s">
        <v>59</v>
      </c>
      <c r="K779" t="s">
        <v>164</v>
      </c>
      <c r="L779" t="s">
        <v>61</v>
      </c>
      <c r="M779" t="s">
        <v>181</v>
      </c>
      <c r="N779" t="s">
        <v>63</v>
      </c>
      <c r="O779" t="s">
        <v>98</v>
      </c>
      <c r="P779" t="s">
        <v>99</v>
      </c>
      <c r="Q779" s="5">
        <v>1</v>
      </c>
      <c r="R779" s="6">
        <v>736</v>
      </c>
      <c r="S779" s="6">
        <v>736</v>
      </c>
      <c r="T779" s="6">
        <v>460</v>
      </c>
      <c r="U779" s="3">
        <v>46335.541666666701</v>
      </c>
      <c r="W779" s="7" t="s">
        <v>184</v>
      </c>
      <c r="X779" t="s">
        <v>70</v>
      </c>
      <c r="Y779" t="s">
        <v>23</v>
      </c>
      <c r="Z779" t="s">
        <v>69</v>
      </c>
      <c r="AA779" t="s">
        <v>67</v>
      </c>
      <c r="AB779" t="s">
        <v>70</v>
      </c>
      <c r="AC779" t="s">
        <v>71</v>
      </c>
      <c r="AD779" t="s">
        <v>102</v>
      </c>
      <c r="AE779" t="s">
        <v>67</v>
      </c>
      <c r="AG779" t="b">
        <f>FALSE()</f>
        <v>0</v>
      </c>
      <c r="AH779" t="b">
        <f>TRUE()</f>
        <v>1</v>
      </c>
      <c r="AI779" t="b">
        <f>TRUE()</f>
        <v>1</v>
      </c>
      <c r="AJ779" t="b">
        <f>TRUE()</f>
        <v>1</v>
      </c>
      <c r="AK779" s="6">
        <v>460</v>
      </c>
      <c r="AL779" s="3">
        <v>46335.541666666701</v>
      </c>
      <c r="AM779">
        <v>1</v>
      </c>
      <c r="AS779" t="b">
        <f>FALSE()</f>
        <v>0</v>
      </c>
      <c r="AT779" t="s">
        <v>74</v>
      </c>
      <c r="AU779" t="b">
        <f>TRUE()</f>
        <v>1</v>
      </c>
      <c r="AV779" t="b">
        <f>FALSE()</f>
        <v>0</v>
      </c>
      <c r="AW779" s="5">
        <v>0</v>
      </c>
      <c r="AY779" t="str">
        <f t="shared" si="4"/>
        <v>2.1.10</v>
      </c>
      <c r="AZ779" t="str">
        <f t="shared" si="5"/>
        <v/>
      </c>
      <c r="BA779" t="str">
        <f t="shared" si="6"/>
        <v/>
      </c>
      <c r="BB779" t="str">
        <f t="shared" si="7"/>
        <v>SEM PRÓTESE</v>
      </c>
    </row>
    <row r="780" spans="1:54" ht="15" customHeight="1" x14ac:dyDescent="0.3">
      <c r="A780">
        <v>1</v>
      </c>
      <c r="B780">
        <v>15</v>
      </c>
      <c r="C780" t="s">
        <v>54</v>
      </c>
      <c r="D780" s="3">
        <v>46301.442326388897</v>
      </c>
      <c r="E780" s="4">
        <v>46301</v>
      </c>
      <c r="F780" t="s">
        <v>178</v>
      </c>
      <c r="G780" t="s">
        <v>56</v>
      </c>
      <c r="H780" t="s">
        <v>179</v>
      </c>
      <c r="I780" t="s">
        <v>180</v>
      </c>
      <c r="J780" t="s">
        <v>59</v>
      </c>
      <c r="K780" t="s">
        <v>164</v>
      </c>
      <c r="L780" t="s">
        <v>61</v>
      </c>
      <c r="M780" t="s">
        <v>181</v>
      </c>
      <c r="N780" t="s">
        <v>63</v>
      </c>
      <c r="O780" t="s">
        <v>190</v>
      </c>
      <c r="P780" t="s">
        <v>191</v>
      </c>
      <c r="Q780" s="5">
        <v>1</v>
      </c>
      <c r="R780" s="6">
        <v>230.58</v>
      </c>
      <c r="S780" s="6">
        <v>230.58</v>
      </c>
      <c r="T780" s="6">
        <v>68.400000000000006</v>
      </c>
      <c r="U780" s="3">
        <v>46335.541666666701</v>
      </c>
      <c r="W780" s="7" t="s">
        <v>184</v>
      </c>
      <c r="X780" t="s">
        <v>70</v>
      </c>
      <c r="Y780" t="s">
        <v>68</v>
      </c>
      <c r="Z780" t="s">
        <v>69</v>
      </c>
      <c r="AA780" t="s">
        <v>67</v>
      </c>
      <c r="AB780" t="s">
        <v>70</v>
      </c>
      <c r="AC780" t="s">
        <v>71</v>
      </c>
      <c r="AD780" t="s">
        <v>185</v>
      </c>
      <c r="AE780" t="s">
        <v>67</v>
      </c>
      <c r="AF780" t="s">
        <v>192</v>
      </c>
      <c r="AG780" t="b">
        <f>FALSE()</f>
        <v>0</v>
      </c>
      <c r="AH780" t="b">
        <f>TRUE()</f>
        <v>1</v>
      </c>
      <c r="AI780" t="b">
        <f>TRUE()</f>
        <v>1</v>
      </c>
      <c r="AJ780" t="b">
        <f>TRUE()</f>
        <v>1</v>
      </c>
      <c r="AK780" s="6">
        <v>68.400000000000006</v>
      </c>
      <c r="AL780" s="3">
        <v>46335.541666666701</v>
      </c>
      <c r="AM780">
        <v>1</v>
      </c>
      <c r="AS780" t="b">
        <f>FALSE()</f>
        <v>0</v>
      </c>
      <c r="AT780" t="s">
        <v>74</v>
      </c>
      <c r="AU780" t="b">
        <f>TRUE()</f>
        <v>1</v>
      </c>
      <c r="AV780" t="b">
        <f>FALSE()</f>
        <v>0</v>
      </c>
      <c r="AW780" s="5">
        <v>0</v>
      </c>
      <c r="AY780" t="str">
        <f t="shared" si="4"/>
        <v>2.1.10</v>
      </c>
      <c r="AZ780" t="str">
        <f t="shared" si="5"/>
        <v/>
      </c>
      <c r="BA780" t="str">
        <f t="shared" si="6"/>
        <v/>
      </c>
      <c r="BB780" t="str">
        <f t="shared" si="7"/>
        <v>SEM PRÓTESE</v>
      </c>
    </row>
    <row r="781" spans="1:54" ht="15" customHeight="1" x14ac:dyDescent="0.3">
      <c r="A781">
        <v>1</v>
      </c>
      <c r="B781">
        <v>15</v>
      </c>
      <c r="C781" t="s">
        <v>54</v>
      </c>
      <c r="D781" s="3">
        <v>46301.4749884259</v>
      </c>
      <c r="E781" s="4">
        <v>46301</v>
      </c>
      <c r="F781" t="s">
        <v>193</v>
      </c>
      <c r="G781" t="s">
        <v>56</v>
      </c>
      <c r="H781" t="s">
        <v>179</v>
      </c>
      <c r="I781" t="s">
        <v>180</v>
      </c>
      <c r="J781" t="s">
        <v>59</v>
      </c>
      <c r="K781" t="s">
        <v>164</v>
      </c>
      <c r="L781" t="s">
        <v>61</v>
      </c>
      <c r="M781" t="s">
        <v>63</v>
      </c>
      <c r="N781" t="s">
        <v>63</v>
      </c>
      <c r="O781" t="s">
        <v>169</v>
      </c>
      <c r="P781" t="s">
        <v>170</v>
      </c>
      <c r="Q781" s="5">
        <v>1</v>
      </c>
      <c r="R781" s="6">
        <v>87</v>
      </c>
      <c r="S781" s="6">
        <v>87</v>
      </c>
      <c r="T781" s="6">
        <v>31.5</v>
      </c>
      <c r="U781" s="3">
        <v>46335.541666666701</v>
      </c>
      <c r="W781" s="7" t="s">
        <v>184</v>
      </c>
      <c r="X781" t="s">
        <v>67</v>
      </c>
      <c r="Y781" t="s">
        <v>68</v>
      </c>
      <c r="Z781" t="s">
        <v>69</v>
      </c>
      <c r="AA781" t="s">
        <v>67</v>
      </c>
      <c r="AB781" t="s">
        <v>70</v>
      </c>
      <c r="AC781" t="s">
        <v>71</v>
      </c>
      <c r="AD781" t="s">
        <v>77</v>
      </c>
      <c r="AE781" t="s">
        <v>67</v>
      </c>
      <c r="AF781" t="s">
        <v>171</v>
      </c>
      <c r="AG781" t="b">
        <f>FALSE()</f>
        <v>0</v>
      </c>
      <c r="AH781" t="b">
        <f>TRUE()</f>
        <v>1</v>
      </c>
      <c r="AI781" t="b">
        <f>TRUE()</f>
        <v>1</v>
      </c>
      <c r="AJ781" t="b">
        <f>TRUE()</f>
        <v>1</v>
      </c>
      <c r="AK781" s="6">
        <v>31.5</v>
      </c>
      <c r="AL781" s="3">
        <v>46335.541666666701</v>
      </c>
      <c r="AM781">
        <v>1</v>
      </c>
      <c r="AS781" t="b">
        <f>FALSE()</f>
        <v>0</v>
      </c>
      <c r="AT781" t="s">
        <v>74</v>
      </c>
      <c r="AU781" t="b">
        <f>TRUE()</f>
        <v>1</v>
      </c>
      <c r="AV781" t="b">
        <f>FALSE()</f>
        <v>0</v>
      </c>
      <c r="AW781" s="5">
        <v>0</v>
      </c>
      <c r="AY781" t="str">
        <f t="shared" si="4"/>
        <v>2.1.10</v>
      </c>
      <c r="AZ781" t="str">
        <f t="shared" si="5"/>
        <v/>
      </c>
      <c r="BA781" t="str">
        <f t="shared" si="6"/>
        <v/>
      </c>
      <c r="BB781" t="str">
        <f t="shared" si="7"/>
        <v>SEM PRÓTESE</v>
      </c>
    </row>
    <row r="782" spans="1:54" ht="15" customHeight="1" x14ac:dyDescent="0.3">
      <c r="A782">
        <v>1</v>
      </c>
      <c r="B782">
        <v>15</v>
      </c>
      <c r="C782" t="s">
        <v>54</v>
      </c>
      <c r="D782" s="3">
        <v>46301.4749884259</v>
      </c>
      <c r="E782" s="4">
        <v>46301</v>
      </c>
      <c r="F782" t="s">
        <v>193</v>
      </c>
      <c r="G782" t="s">
        <v>56</v>
      </c>
      <c r="H782" t="s">
        <v>179</v>
      </c>
      <c r="I782" t="s">
        <v>180</v>
      </c>
      <c r="J782" t="s">
        <v>59</v>
      </c>
      <c r="K782" t="s">
        <v>164</v>
      </c>
      <c r="L782" t="s">
        <v>61</v>
      </c>
      <c r="M782" t="s">
        <v>63</v>
      </c>
      <c r="N782" t="s">
        <v>63</v>
      </c>
      <c r="O782" t="s">
        <v>172</v>
      </c>
      <c r="P782" t="s">
        <v>173</v>
      </c>
      <c r="Q782" s="5">
        <v>1</v>
      </c>
      <c r="R782" s="6">
        <v>570</v>
      </c>
      <c r="S782" s="6">
        <v>570</v>
      </c>
      <c r="T782" s="6">
        <v>200.25</v>
      </c>
      <c r="U782" s="3">
        <v>46335.541666666701</v>
      </c>
      <c r="W782" s="7" t="s">
        <v>184</v>
      </c>
      <c r="X782" t="s">
        <v>67</v>
      </c>
      <c r="Y782" t="s">
        <v>68</v>
      </c>
      <c r="Z782" t="s">
        <v>69</v>
      </c>
      <c r="AA782" t="s">
        <v>67</v>
      </c>
      <c r="AB782" t="s">
        <v>70</v>
      </c>
      <c r="AC782" t="s">
        <v>71</v>
      </c>
      <c r="AD782" t="s">
        <v>77</v>
      </c>
      <c r="AE782" t="s">
        <v>67</v>
      </c>
      <c r="AF782" t="s">
        <v>174</v>
      </c>
      <c r="AG782" t="b">
        <f>FALSE()</f>
        <v>0</v>
      </c>
      <c r="AH782" t="b">
        <f>TRUE()</f>
        <v>1</v>
      </c>
      <c r="AI782" t="b">
        <f>TRUE()</f>
        <v>1</v>
      </c>
      <c r="AJ782" t="b">
        <f>TRUE()</f>
        <v>1</v>
      </c>
      <c r="AK782" s="6">
        <v>200.25</v>
      </c>
      <c r="AL782" s="3">
        <v>46335.541666666701</v>
      </c>
      <c r="AM782">
        <v>1</v>
      </c>
      <c r="AS782" t="b">
        <f>FALSE()</f>
        <v>0</v>
      </c>
      <c r="AT782" t="s">
        <v>74</v>
      </c>
      <c r="AU782" t="b">
        <f>TRUE()</f>
        <v>1</v>
      </c>
      <c r="AV782" t="b">
        <f>FALSE()</f>
        <v>0</v>
      </c>
      <c r="AW782" s="5">
        <v>0</v>
      </c>
      <c r="AY782" t="str">
        <f t="shared" si="4"/>
        <v>2.1.10</v>
      </c>
      <c r="AZ782" t="str">
        <f t="shared" si="5"/>
        <v/>
      </c>
      <c r="BA782" t="str">
        <f t="shared" si="6"/>
        <v/>
      </c>
      <c r="BB782" t="str">
        <f t="shared" si="7"/>
        <v>SEM PRÓTESE</v>
      </c>
    </row>
    <row r="783" spans="1:54" ht="15" customHeight="1" x14ac:dyDescent="0.3">
      <c r="A783">
        <v>1</v>
      </c>
      <c r="B783">
        <v>15</v>
      </c>
      <c r="C783" t="s">
        <v>54</v>
      </c>
      <c r="D783" s="3">
        <v>46301.4749884259</v>
      </c>
      <c r="E783" s="4">
        <v>46301</v>
      </c>
      <c r="F783" t="s">
        <v>193</v>
      </c>
      <c r="G783" t="s">
        <v>56</v>
      </c>
      <c r="H783" t="s">
        <v>179</v>
      </c>
      <c r="I783" t="s">
        <v>180</v>
      </c>
      <c r="J783" t="s">
        <v>59</v>
      </c>
      <c r="K783" t="s">
        <v>164</v>
      </c>
      <c r="L783" t="s">
        <v>61</v>
      </c>
      <c r="M783" t="s">
        <v>63</v>
      </c>
      <c r="N783" t="s">
        <v>63</v>
      </c>
      <c r="O783" t="s">
        <v>82</v>
      </c>
      <c r="P783" t="s">
        <v>83</v>
      </c>
      <c r="Q783" s="5">
        <v>1</v>
      </c>
      <c r="R783" s="6">
        <v>140</v>
      </c>
      <c r="S783" s="6">
        <v>140</v>
      </c>
      <c r="T783" s="6">
        <v>93.1</v>
      </c>
      <c r="U783" s="3">
        <v>46335.541666666701</v>
      </c>
      <c r="W783" s="7" t="s">
        <v>184</v>
      </c>
      <c r="X783" t="s">
        <v>67</v>
      </c>
      <c r="Y783" t="s">
        <v>68</v>
      </c>
      <c r="Z783" t="s">
        <v>69</v>
      </c>
      <c r="AA783" t="s">
        <v>67</v>
      </c>
      <c r="AB783" t="s">
        <v>70</v>
      </c>
      <c r="AC783" t="s">
        <v>71</v>
      </c>
      <c r="AD783" t="s">
        <v>84</v>
      </c>
      <c r="AE783" t="s">
        <v>67</v>
      </c>
      <c r="AF783" t="s">
        <v>82</v>
      </c>
      <c r="AG783" t="b">
        <f>FALSE()</f>
        <v>0</v>
      </c>
      <c r="AH783" t="b">
        <f>TRUE()</f>
        <v>1</v>
      </c>
      <c r="AI783" t="b">
        <f>TRUE()</f>
        <v>1</v>
      </c>
      <c r="AJ783" t="b">
        <f>TRUE()</f>
        <v>1</v>
      </c>
      <c r="AK783" s="6">
        <v>93.1</v>
      </c>
      <c r="AL783" s="3">
        <v>46335.541666666701</v>
      </c>
      <c r="AM783">
        <v>1</v>
      </c>
      <c r="AS783" t="b">
        <f>FALSE()</f>
        <v>0</v>
      </c>
      <c r="AT783" t="s">
        <v>74</v>
      </c>
      <c r="AU783" t="b">
        <f>TRUE()</f>
        <v>1</v>
      </c>
      <c r="AV783" t="b">
        <f>FALSE()</f>
        <v>0</v>
      </c>
      <c r="AW783" s="5">
        <v>0</v>
      </c>
      <c r="AY783" t="str">
        <f t="shared" si="4"/>
        <v>2.1.10</v>
      </c>
      <c r="AZ783" t="str">
        <f t="shared" si="5"/>
        <v/>
      </c>
      <c r="BA783" t="str">
        <f t="shared" si="6"/>
        <v/>
      </c>
      <c r="BB783" t="str">
        <f t="shared" si="7"/>
        <v>SEM PRÓTESE</v>
      </c>
    </row>
    <row r="784" spans="1:54" ht="15" customHeight="1" x14ac:dyDescent="0.3">
      <c r="A784">
        <v>1</v>
      </c>
      <c r="B784">
        <v>15</v>
      </c>
      <c r="C784" t="s">
        <v>54</v>
      </c>
      <c r="D784" s="3">
        <v>46301.4749884259</v>
      </c>
      <c r="E784" s="4">
        <v>46301</v>
      </c>
      <c r="F784" t="s">
        <v>193</v>
      </c>
      <c r="G784" t="s">
        <v>56</v>
      </c>
      <c r="H784" t="s">
        <v>179</v>
      </c>
      <c r="I784" t="s">
        <v>180</v>
      </c>
      <c r="J784" t="s">
        <v>59</v>
      </c>
      <c r="K784" t="s">
        <v>164</v>
      </c>
      <c r="L784" t="s">
        <v>61</v>
      </c>
      <c r="M784" t="s">
        <v>63</v>
      </c>
      <c r="N784" t="s">
        <v>63</v>
      </c>
      <c r="O784" t="s">
        <v>85</v>
      </c>
      <c r="P784" t="s">
        <v>86</v>
      </c>
      <c r="Q784" s="5">
        <v>1</v>
      </c>
      <c r="R784" s="6">
        <v>33</v>
      </c>
      <c r="S784" s="6">
        <v>33</v>
      </c>
      <c r="T784" s="6">
        <v>11.7</v>
      </c>
      <c r="U784" s="3">
        <v>46335.541666666701</v>
      </c>
      <c r="W784" s="7" t="s">
        <v>184</v>
      </c>
      <c r="X784" t="s">
        <v>67</v>
      </c>
      <c r="Y784" t="s">
        <v>68</v>
      </c>
      <c r="Z784" t="s">
        <v>69</v>
      </c>
      <c r="AA784" t="s">
        <v>67</v>
      </c>
      <c r="AB784" t="s">
        <v>70</v>
      </c>
      <c r="AC784" t="s">
        <v>71</v>
      </c>
      <c r="AD784" t="s">
        <v>77</v>
      </c>
      <c r="AE784" t="s">
        <v>70</v>
      </c>
      <c r="AF784" t="s">
        <v>87</v>
      </c>
      <c r="AG784" t="b">
        <f>FALSE()</f>
        <v>0</v>
      </c>
      <c r="AH784" t="b">
        <f>TRUE()</f>
        <v>1</v>
      </c>
      <c r="AI784" t="b">
        <f>TRUE()</f>
        <v>1</v>
      </c>
      <c r="AJ784" t="b">
        <f>TRUE()</f>
        <v>1</v>
      </c>
      <c r="AK784" s="6">
        <v>11.7</v>
      </c>
      <c r="AL784" s="3">
        <v>46335.541666666701</v>
      </c>
      <c r="AM784">
        <v>1</v>
      </c>
      <c r="AS784" t="b">
        <f>FALSE()</f>
        <v>0</v>
      </c>
      <c r="AT784" t="s">
        <v>74</v>
      </c>
      <c r="AU784" t="b">
        <f>TRUE()</f>
        <v>1</v>
      </c>
      <c r="AV784" t="b">
        <f>FALSE()</f>
        <v>0</v>
      </c>
      <c r="AW784" s="5">
        <v>0</v>
      </c>
      <c r="AY784" t="str">
        <f t="shared" si="4"/>
        <v>2.1.10</v>
      </c>
      <c r="AZ784" t="str">
        <f t="shared" si="5"/>
        <v/>
      </c>
      <c r="BA784" t="str">
        <f t="shared" si="6"/>
        <v/>
      </c>
      <c r="BB784" t="str">
        <f t="shared" si="7"/>
        <v>SEM PRÓTESE</v>
      </c>
    </row>
    <row r="785" spans="1:54" ht="15" customHeight="1" x14ac:dyDescent="0.3">
      <c r="A785">
        <v>1</v>
      </c>
      <c r="B785">
        <v>15</v>
      </c>
      <c r="C785" t="s">
        <v>54</v>
      </c>
      <c r="D785" s="3">
        <v>46302.627939814804</v>
      </c>
      <c r="E785" s="4">
        <v>46302</v>
      </c>
      <c r="F785" t="s">
        <v>194</v>
      </c>
      <c r="G785" t="s">
        <v>56</v>
      </c>
      <c r="H785" t="s">
        <v>195</v>
      </c>
      <c r="I785" t="s">
        <v>196</v>
      </c>
      <c r="J785" t="s">
        <v>94</v>
      </c>
      <c r="L785" t="s">
        <v>96</v>
      </c>
      <c r="M785" t="s">
        <v>97</v>
      </c>
      <c r="N785" t="s">
        <v>97</v>
      </c>
      <c r="O785" t="s">
        <v>197</v>
      </c>
      <c r="P785" t="s">
        <v>198</v>
      </c>
      <c r="Q785" s="5">
        <v>1</v>
      </c>
      <c r="R785" s="6">
        <v>640</v>
      </c>
      <c r="S785" s="6">
        <v>640</v>
      </c>
      <c r="T785" s="6">
        <v>400</v>
      </c>
      <c r="U785" s="3">
        <v>46302.458333333299</v>
      </c>
      <c r="W785" s="7"/>
      <c r="X785" t="s">
        <v>70</v>
      </c>
      <c r="Y785" t="s">
        <v>23</v>
      </c>
      <c r="Z785" t="s">
        <v>69</v>
      </c>
      <c r="AA785" t="s">
        <v>67</v>
      </c>
      <c r="AB785" t="s">
        <v>67</v>
      </c>
      <c r="AC785" t="s">
        <v>101</v>
      </c>
      <c r="AD785" t="s">
        <v>102</v>
      </c>
      <c r="AE785" t="s">
        <v>67</v>
      </c>
      <c r="AG785" t="b">
        <f>FALSE()</f>
        <v>0</v>
      </c>
      <c r="AH785" t="b">
        <f>FALSE()</f>
        <v>0</v>
      </c>
      <c r="AI785" t="b">
        <f>FALSE()</f>
        <v>0</v>
      </c>
      <c r="AJ785" t="b">
        <f>FALSE()</f>
        <v>0</v>
      </c>
      <c r="AK785" s="6">
        <v>400</v>
      </c>
      <c r="AL785" s="3">
        <v>46302.458333333299</v>
      </c>
      <c r="AM785">
        <v>1</v>
      </c>
      <c r="AS785" t="b">
        <f>FALSE()</f>
        <v>0</v>
      </c>
      <c r="AT785" t="s">
        <v>74</v>
      </c>
      <c r="AU785" t="b">
        <f>TRUE()</f>
        <v>1</v>
      </c>
      <c r="AV785" t="b">
        <f>FALSE()</f>
        <v>0</v>
      </c>
      <c r="AW785" s="5">
        <v>0</v>
      </c>
      <c r="AY785" t="str">
        <f t="shared" si="4"/>
        <v>2.1.10</v>
      </c>
      <c r="AZ785" t="str">
        <f t="shared" si="5"/>
        <v/>
      </c>
      <c r="BA785" t="str">
        <f t="shared" si="6"/>
        <v/>
      </c>
      <c r="BB785" t="str">
        <f t="shared" si="7"/>
        <v>SEM PRÓTESE</v>
      </c>
    </row>
    <row r="786" spans="1:54" ht="15" customHeight="1" x14ac:dyDescent="0.3">
      <c r="A786">
        <v>1</v>
      </c>
      <c r="B786">
        <v>15</v>
      </c>
      <c r="C786" t="s">
        <v>54</v>
      </c>
      <c r="D786" s="3">
        <v>46301.656782407401</v>
      </c>
      <c r="E786" s="4">
        <v>46301</v>
      </c>
      <c r="F786" t="s">
        <v>199</v>
      </c>
      <c r="G786" t="s">
        <v>56</v>
      </c>
      <c r="H786" t="s">
        <v>200</v>
      </c>
      <c r="I786" t="s">
        <v>201</v>
      </c>
      <c r="J786" t="s">
        <v>59</v>
      </c>
      <c r="L786" t="s">
        <v>106</v>
      </c>
      <c r="M786" t="s">
        <v>63</v>
      </c>
      <c r="O786" t="s">
        <v>64</v>
      </c>
      <c r="P786" t="s">
        <v>65</v>
      </c>
      <c r="Q786" s="5">
        <v>1</v>
      </c>
      <c r="R786" s="6">
        <v>237</v>
      </c>
      <c r="S786" s="6">
        <v>237</v>
      </c>
      <c r="T786" s="6">
        <v>157.5</v>
      </c>
      <c r="U786" s="3">
        <v>46335.458333333299</v>
      </c>
      <c r="W786" s="7" t="s">
        <v>202</v>
      </c>
      <c r="X786" t="s">
        <v>70</v>
      </c>
      <c r="Y786" t="s">
        <v>68</v>
      </c>
      <c r="Z786" t="s">
        <v>69</v>
      </c>
      <c r="AA786" t="s">
        <v>67</v>
      </c>
      <c r="AB786" t="s">
        <v>67</v>
      </c>
      <c r="AC786" t="s">
        <v>71</v>
      </c>
      <c r="AD786" t="s">
        <v>72</v>
      </c>
      <c r="AE786" t="s">
        <v>67</v>
      </c>
      <c r="AF786" t="s">
        <v>73</v>
      </c>
      <c r="AG786" t="b">
        <f>FALSE()</f>
        <v>0</v>
      </c>
      <c r="AH786" t="b">
        <f>FALSE()</f>
        <v>0</v>
      </c>
      <c r="AI786" t="b">
        <f>FALSE()</f>
        <v>0</v>
      </c>
      <c r="AJ786" t="b">
        <f>FALSE()</f>
        <v>0</v>
      </c>
      <c r="AK786" s="6">
        <v>157.5</v>
      </c>
      <c r="AL786" s="3">
        <v>46335.458333333299</v>
      </c>
      <c r="AM786">
        <v>1</v>
      </c>
      <c r="AO786" t="s">
        <v>112</v>
      </c>
      <c r="AP786" t="s">
        <v>112</v>
      </c>
      <c r="AQ786" t="s">
        <v>203</v>
      </c>
      <c r="AR786">
        <v>1</v>
      </c>
      <c r="AS786" t="b">
        <f>FALSE()</f>
        <v>0</v>
      </c>
      <c r="AT786" t="s">
        <v>114</v>
      </c>
      <c r="AU786" t="b">
        <f>TRUE()</f>
        <v>1</v>
      </c>
      <c r="AV786" t="b">
        <f>FALSE()</f>
        <v>0</v>
      </c>
      <c r="AW786" s="5">
        <v>0</v>
      </c>
      <c r="AY786" t="str">
        <f t="shared" si="4"/>
        <v>2.1.10</v>
      </c>
      <c r="AZ786" t="str">
        <f t="shared" si="5"/>
        <v>NÃO</v>
      </c>
      <c r="BA786" t="str">
        <f t="shared" si="6"/>
        <v>NÃO</v>
      </c>
      <c r="BB786" t="str">
        <f t="shared" si="7"/>
        <v>OUTROS STATUS</v>
      </c>
    </row>
    <row r="787" spans="1:54" ht="15" customHeight="1" x14ac:dyDescent="0.3">
      <c r="A787">
        <v>1</v>
      </c>
      <c r="B787">
        <v>15</v>
      </c>
      <c r="C787" t="s">
        <v>54</v>
      </c>
      <c r="D787" s="3">
        <v>46301.656782407401</v>
      </c>
      <c r="E787" s="4">
        <v>46301</v>
      </c>
      <c r="F787" t="s">
        <v>199</v>
      </c>
      <c r="G787" t="s">
        <v>56</v>
      </c>
      <c r="H787" t="s">
        <v>200</v>
      </c>
      <c r="I787" t="s">
        <v>201</v>
      </c>
      <c r="J787" t="s">
        <v>59</v>
      </c>
      <c r="L787" t="s">
        <v>106</v>
      </c>
      <c r="M787" t="s">
        <v>63</v>
      </c>
      <c r="O787" t="s">
        <v>204</v>
      </c>
      <c r="P787" t="s">
        <v>205</v>
      </c>
      <c r="Q787" s="5">
        <v>1</v>
      </c>
      <c r="R787" s="6">
        <v>87</v>
      </c>
      <c r="S787" s="6">
        <v>87</v>
      </c>
      <c r="T787" s="6">
        <v>31.5</v>
      </c>
      <c r="U787" s="3">
        <v>46335.458333333299</v>
      </c>
      <c r="W787" s="7" t="s">
        <v>202</v>
      </c>
      <c r="X787" t="s">
        <v>70</v>
      </c>
      <c r="Y787" t="s">
        <v>68</v>
      </c>
      <c r="Z787" t="s">
        <v>69</v>
      </c>
      <c r="AA787" t="s">
        <v>67</v>
      </c>
      <c r="AB787" t="s">
        <v>67</v>
      </c>
      <c r="AC787" t="s">
        <v>71</v>
      </c>
      <c r="AD787" t="s">
        <v>77</v>
      </c>
      <c r="AE787" t="s">
        <v>67</v>
      </c>
      <c r="AF787" t="s">
        <v>206</v>
      </c>
      <c r="AG787" t="b">
        <f>FALSE()</f>
        <v>0</v>
      </c>
      <c r="AH787" t="b">
        <f>FALSE()</f>
        <v>0</v>
      </c>
      <c r="AI787" t="b">
        <f>FALSE()</f>
        <v>0</v>
      </c>
      <c r="AJ787" t="b">
        <f>FALSE()</f>
        <v>0</v>
      </c>
      <c r="AK787" s="6">
        <v>31.5</v>
      </c>
      <c r="AL787" s="3">
        <v>46335.458333333299</v>
      </c>
      <c r="AM787">
        <v>1</v>
      </c>
      <c r="AO787" t="s">
        <v>112</v>
      </c>
      <c r="AP787" t="s">
        <v>112</v>
      </c>
      <c r="AQ787" t="s">
        <v>203</v>
      </c>
      <c r="AR787">
        <v>1</v>
      </c>
      <c r="AS787" t="b">
        <f>FALSE()</f>
        <v>0</v>
      </c>
      <c r="AT787" t="s">
        <v>114</v>
      </c>
      <c r="AU787" t="b">
        <f>TRUE()</f>
        <v>1</v>
      </c>
      <c r="AV787" t="b">
        <f>FALSE()</f>
        <v>0</v>
      </c>
      <c r="AW787" s="5">
        <v>0</v>
      </c>
      <c r="AY787" t="str">
        <f t="shared" si="4"/>
        <v>2.1.10</v>
      </c>
      <c r="AZ787" t="str">
        <f t="shared" si="5"/>
        <v>NÃO</v>
      </c>
      <c r="BA787" t="str">
        <f t="shared" si="6"/>
        <v>NÃO</v>
      </c>
      <c r="BB787" t="str">
        <f t="shared" si="7"/>
        <v>OUTROS STATUS</v>
      </c>
    </row>
    <row r="788" spans="1:54" ht="15" customHeight="1" x14ac:dyDescent="0.3">
      <c r="A788">
        <v>1</v>
      </c>
      <c r="B788">
        <v>15</v>
      </c>
      <c r="C788" t="s">
        <v>54</v>
      </c>
      <c r="D788" s="3">
        <v>46301.656782407401</v>
      </c>
      <c r="E788" s="4">
        <v>46301</v>
      </c>
      <c r="F788" t="s">
        <v>199</v>
      </c>
      <c r="G788" t="s">
        <v>56</v>
      </c>
      <c r="H788" t="s">
        <v>200</v>
      </c>
      <c r="I788" t="s">
        <v>201</v>
      </c>
      <c r="J788" t="s">
        <v>59</v>
      </c>
      <c r="L788" t="s">
        <v>106</v>
      </c>
      <c r="M788" t="s">
        <v>63</v>
      </c>
      <c r="O788" t="s">
        <v>121</v>
      </c>
      <c r="P788" t="s">
        <v>122</v>
      </c>
      <c r="Q788" s="5">
        <v>1</v>
      </c>
      <c r="R788" s="6">
        <v>320</v>
      </c>
      <c r="S788" s="6">
        <v>320</v>
      </c>
      <c r="T788" s="6">
        <v>200</v>
      </c>
      <c r="U788" s="3">
        <v>46335.458333333299</v>
      </c>
      <c r="W788" s="7" t="s">
        <v>202</v>
      </c>
      <c r="X788" t="s">
        <v>70</v>
      </c>
      <c r="Y788" t="s">
        <v>23</v>
      </c>
      <c r="Z788" t="s">
        <v>69</v>
      </c>
      <c r="AA788" t="s">
        <v>67</v>
      </c>
      <c r="AB788" t="s">
        <v>67</v>
      </c>
      <c r="AC788" t="s">
        <v>71</v>
      </c>
      <c r="AE788" t="s">
        <v>67</v>
      </c>
      <c r="AG788" t="b">
        <f>FALSE()</f>
        <v>0</v>
      </c>
      <c r="AH788" t="b">
        <f>FALSE()</f>
        <v>0</v>
      </c>
      <c r="AI788" t="b">
        <f>FALSE()</f>
        <v>0</v>
      </c>
      <c r="AJ788" t="b">
        <f>FALSE()</f>
        <v>0</v>
      </c>
      <c r="AK788" s="6">
        <v>200</v>
      </c>
      <c r="AL788" s="3">
        <v>46335.458333333299</v>
      </c>
      <c r="AM788">
        <v>1</v>
      </c>
      <c r="AO788" t="s">
        <v>112</v>
      </c>
      <c r="AP788" t="s">
        <v>112</v>
      </c>
      <c r="AQ788" t="s">
        <v>203</v>
      </c>
      <c r="AR788">
        <v>1</v>
      </c>
      <c r="AS788" t="b">
        <f>FALSE()</f>
        <v>0</v>
      </c>
      <c r="AT788" t="s">
        <v>114</v>
      </c>
      <c r="AU788" t="b">
        <f>TRUE()</f>
        <v>1</v>
      </c>
      <c r="AV788" t="b">
        <f>FALSE()</f>
        <v>0</v>
      </c>
      <c r="AW788" s="5">
        <v>0</v>
      </c>
      <c r="AY788" t="str">
        <f t="shared" si="4"/>
        <v>2.1.10</v>
      </c>
      <c r="AZ788" t="str">
        <f t="shared" si="5"/>
        <v>NÃO</v>
      </c>
      <c r="BA788" t="str">
        <f t="shared" si="6"/>
        <v>NÃO</v>
      </c>
      <c r="BB788" t="str">
        <f t="shared" si="7"/>
        <v>OUTROS STATUS</v>
      </c>
    </row>
    <row r="789" spans="1:54" ht="15" customHeight="1" x14ac:dyDescent="0.3">
      <c r="A789">
        <v>1</v>
      </c>
      <c r="B789">
        <v>15</v>
      </c>
      <c r="C789" t="s">
        <v>54</v>
      </c>
      <c r="D789" s="3">
        <v>46301.656782407401</v>
      </c>
      <c r="E789" s="4">
        <v>46301</v>
      </c>
      <c r="F789" t="s">
        <v>199</v>
      </c>
      <c r="G789" t="s">
        <v>56</v>
      </c>
      <c r="H789" t="s">
        <v>200</v>
      </c>
      <c r="I789" t="s">
        <v>201</v>
      </c>
      <c r="J789" t="s">
        <v>59</v>
      </c>
      <c r="L789" t="s">
        <v>106</v>
      </c>
      <c r="M789" t="s">
        <v>63</v>
      </c>
      <c r="O789" t="s">
        <v>207</v>
      </c>
      <c r="P789" t="s">
        <v>208</v>
      </c>
      <c r="Q789" s="5">
        <v>1</v>
      </c>
      <c r="R789" s="6">
        <v>570</v>
      </c>
      <c r="S789" s="6">
        <v>570</v>
      </c>
      <c r="T789" s="6">
        <v>200.25</v>
      </c>
      <c r="U789" s="3">
        <v>46335.458333333299</v>
      </c>
      <c r="W789" s="7" t="s">
        <v>202</v>
      </c>
      <c r="X789" t="s">
        <v>70</v>
      </c>
      <c r="Y789" t="s">
        <v>68</v>
      </c>
      <c r="Z789" t="s">
        <v>69</v>
      </c>
      <c r="AA789" t="s">
        <v>67</v>
      </c>
      <c r="AB789" t="s">
        <v>67</v>
      </c>
      <c r="AC789" t="s">
        <v>71</v>
      </c>
      <c r="AD789" t="s">
        <v>77</v>
      </c>
      <c r="AE789" t="s">
        <v>67</v>
      </c>
      <c r="AF789" t="s">
        <v>209</v>
      </c>
      <c r="AG789" t="b">
        <f>FALSE()</f>
        <v>0</v>
      </c>
      <c r="AH789" t="b">
        <f>FALSE()</f>
        <v>0</v>
      </c>
      <c r="AI789" t="b">
        <f>FALSE()</f>
        <v>0</v>
      </c>
      <c r="AJ789" t="b">
        <f>FALSE()</f>
        <v>0</v>
      </c>
      <c r="AK789" s="6">
        <v>200.25</v>
      </c>
      <c r="AL789" s="3">
        <v>46335.458333333299</v>
      </c>
      <c r="AM789">
        <v>1</v>
      </c>
      <c r="AO789" t="s">
        <v>112</v>
      </c>
      <c r="AP789" t="s">
        <v>112</v>
      </c>
      <c r="AQ789" t="s">
        <v>203</v>
      </c>
      <c r="AR789">
        <v>1</v>
      </c>
      <c r="AS789" t="b">
        <f>FALSE()</f>
        <v>0</v>
      </c>
      <c r="AT789" t="s">
        <v>114</v>
      </c>
      <c r="AU789" t="b">
        <f>TRUE()</f>
        <v>1</v>
      </c>
      <c r="AV789" t="b">
        <f>FALSE()</f>
        <v>0</v>
      </c>
      <c r="AW789" s="5">
        <v>0</v>
      </c>
      <c r="AY789" t="str">
        <f t="shared" si="4"/>
        <v>2.1.10</v>
      </c>
      <c r="AZ789" t="str">
        <f t="shared" si="5"/>
        <v>NÃO</v>
      </c>
      <c r="BA789" t="str">
        <f t="shared" si="6"/>
        <v>NÃO</v>
      </c>
      <c r="BB789" t="str">
        <f t="shared" si="7"/>
        <v>OUTROS STATUS</v>
      </c>
    </row>
    <row r="790" spans="1:54" ht="15" customHeight="1" x14ac:dyDescent="0.3">
      <c r="A790">
        <v>1</v>
      </c>
      <c r="B790">
        <v>15</v>
      </c>
      <c r="C790" t="s">
        <v>54</v>
      </c>
      <c r="D790" s="3">
        <v>46301.656782407401</v>
      </c>
      <c r="E790" s="4">
        <v>46301</v>
      </c>
      <c r="F790" t="s">
        <v>199</v>
      </c>
      <c r="G790" t="s">
        <v>56</v>
      </c>
      <c r="H790" t="s">
        <v>200</v>
      </c>
      <c r="I790" t="s">
        <v>201</v>
      </c>
      <c r="J790" t="s">
        <v>59</v>
      </c>
      <c r="L790" t="s">
        <v>106</v>
      </c>
      <c r="M790" t="s">
        <v>63</v>
      </c>
      <c r="O790" t="s">
        <v>82</v>
      </c>
      <c r="P790" t="s">
        <v>83</v>
      </c>
      <c r="Q790" s="5">
        <v>1</v>
      </c>
      <c r="R790" s="6">
        <v>140</v>
      </c>
      <c r="S790" s="6">
        <v>140</v>
      </c>
      <c r="T790" s="6">
        <v>93.1</v>
      </c>
      <c r="U790" s="3">
        <v>46335.458333333299</v>
      </c>
      <c r="W790" s="7" t="s">
        <v>202</v>
      </c>
      <c r="X790" t="s">
        <v>70</v>
      </c>
      <c r="Y790" t="s">
        <v>68</v>
      </c>
      <c r="Z790" t="s">
        <v>69</v>
      </c>
      <c r="AA790" t="s">
        <v>67</v>
      </c>
      <c r="AB790" t="s">
        <v>67</v>
      </c>
      <c r="AC790" t="s">
        <v>71</v>
      </c>
      <c r="AD790" t="s">
        <v>84</v>
      </c>
      <c r="AE790" t="s">
        <v>67</v>
      </c>
      <c r="AF790" t="s">
        <v>82</v>
      </c>
      <c r="AG790" t="b">
        <f>FALSE()</f>
        <v>0</v>
      </c>
      <c r="AH790" t="b">
        <f>FALSE()</f>
        <v>0</v>
      </c>
      <c r="AI790" t="b">
        <f>FALSE()</f>
        <v>0</v>
      </c>
      <c r="AJ790" t="b">
        <f>FALSE()</f>
        <v>0</v>
      </c>
      <c r="AK790" s="6">
        <v>93.1</v>
      </c>
      <c r="AL790" s="3">
        <v>46335.458333333299</v>
      </c>
      <c r="AM790">
        <v>1</v>
      </c>
      <c r="AO790" t="s">
        <v>112</v>
      </c>
      <c r="AP790" t="s">
        <v>112</v>
      </c>
      <c r="AQ790" t="s">
        <v>203</v>
      </c>
      <c r="AR790">
        <v>1</v>
      </c>
      <c r="AS790" t="b">
        <f>FALSE()</f>
        <v>0</v>
      </c>
      <c r="AT790" t="s">
        <v>114</v>
      </c>
      <c r="AU790" t="b">
        <f>TRUE()</f>
        <v>1</v>
      </c>
      <c r="AV790" t="b">
        <f>FALSE()</f>
        <v>0</v>
      </c>
      <c r="AW790" s="5">
        <v>0</v>
      </c>
      <c r="AY790" t="str">
        <f t="shared" si="4"/>
        <v>2.1.10</v>
      </c>
      <c r="AZ790" t="str">
        <f t="shared" si="5"/>
        <v>NÃO</v>
      </c>
      <c r="BA790" t="str">
        <f t="shared" si="6"/>
        <v>NÃO</v>
      </c>
      <c r="BB790" t="str">
        <f t="shared" si="7"/>
        <v>OUTROS STATUS</v>
      </c>
    </row>
    <row r="791" spans="1:54" ht="15" customHeight="1" x14ac:dyDescent="0.3">
      <c r="A791">
        <v>1</v>
      </c>
      <c r="B791">
        <v>15</v>
      </c>
      <c r="C791" t="s">
        <v>54</v>
      </c>
      <c r="D791" s="3">
        <v>46301.656782407401</v>
      </c>
      <c r="E791" s="4">
        <v>46301</v>
      </c>
      <c r="F791" t="s">
        <v>199</v>
      </c>
      <c r="G791" t="s">
        <v>56</v>
      </c>
      <c r="H791" t="s">
        <v>200</v>
      </c>
      <c r="I791" t="s">
        <v>201</v>
      </c>
      <c r="J791" t="s">
        <v>59</v>
      </c>
      <c r="L791" t="s">
        <v>106</v>
      </c>
      <c r="M791" t="s">
        <v>63</v>
      </c>
      <c r="O791" t="s">
        <v>210</v>
      </c>
      <c r="P791" t="s">
        <v>211</v>
      </c>
      <c r="Q791" s="5">
        <v>1</v>
      </c>
      <c r="R791" s="6">
        <v>350</v>
      </c>
      <c r="S791" s="6">
        <v>350</v>
      </c>
      <c r="T791" s="6">
        <v>250</v>
      </c>
      <c r="U791" s="3">
        <v>46335.458333333299</v>
      </c>
      <c r="W791" s="7" t="s">
        <v>202</v>
      </c>
      <c r="X791" t="s">
        <v>70</v>
      </c>
      <c r="Y791" t="s">
        <v>23</v>
      </c>
      <c r="Z791" t="s">
        <v>69</v>
      </c>
      <c r="AA791" t="s">
        <v>67</v>
      </c>
      <c r="AB791" t="s">
        <v>67</v>
      </c>
      <c r="AC791" t="s">
        <v>71</v>
      </c>
      <c r="AD791" t="s">
        <v>212</v>
      </c>
      <c r="AE791" t="s">
        <v>67</v>
      </c>
      <c r="AG791" t="b">
        <f>FALSE()</f>
        <v>0</v>
      </c>
      <c r="AH791" t="b">
        <f>FALSE()</f>
        <v>0</v>
      </c>
      <c r="AI791" t="b">
        <f>FALSE()</f>
        <v>0</v>
      </c>
      <c r="AJ791" t="b">
        <f>FALSE()</f>
        <v>0</v>
      </c>
      <c r="AK791" s="6">
        <v>250</v>
      </c>
      <c r="AL791" s="3">
        <v>46335.458333333299</v>
      </c>
      <c r="AM791">
        <v>1</v>
      </c>
      <c r="AO791" t="s">
        <v>112</v>
      </c>
      <c r="AP791" t="s">
        <v>112</v>
      </c>
      <c r="AQ791" t="s">
        <v>203</v>
      </c>
      <c r="AR791">
        <v>1</v>
      </c>
      <c r="AS791" t="b">
        <f>FALSE()</f>
        <v>0</v>
      </c>
      <c r="AT791" t="s">
        <v>114</v>
      </c>
      <c r="AU791" t="b">
        <f>TRUE()</f>
        <v>1</v>
      </c>
      <c r="AV791" t="b">
        <f>FALSE()</f>
        <v>0</v>
      </c>
      <c r="AW791" s="5">
        <v>0</v>
      </c>
      <c r="AY791" t="str">
        <f t="shared" si="4"/>
        <v>2.1.10</v>
      </c>
      <c r="AZ791" t="str">
        <f t="shared" si="5"/>
        <v>NÃO</v>
      </c>
      <c r="BA791" t="str">
        <f t="shared" si="6"/>
        <v>NÃO</v>
      </c>
      <c r="BB791" t="str">
        <f t="shared" si="7"/>
        <v>OUTROS STATUS</v>
      </c>
    </row>
    <row r="792" spans="1:54" ht="15" customHeight="1" x14ac:dyDescent="0.3">
      <c r="A792">
        <v>1</v>
      </c>
      <c r="B792">
        <v>15</v>
      </c>
      <c r="C792" t="s">
        <v>54</v>
      </c>
      <c r="D792" s="3">
        <v>46301.656782407401</v>
      </c>
      <c r="E792" s="4">
        <v>46301</v>
      </c>
      <c r="F792" t="s">
        <v>199</v>
      </c>
      <c r="G792" t="s">
        <v>56</v>
      </c>
      <c r="H792" t="s">
        <v>200</v>
      </c>
      <c r="I792" t="s">
        <v>201</v>
      </c>
      <c r="J792" t="s">
        <v>59</v>
      </c>
      <c r="L792" t="s">
        <v>106</v>
      </c>
      <c r="M792" t="s">
        <v>63</v>
      </c>
      <c r="O792" t="s">
        <v>85</v>
      </c>
      <c r="P792" t="s">
        <v>86</v>
      </c>
      <c r="Q792" s="5">
        <v>1</v>
      </c>
      <c r="R792" s="6">
        <v>33</v>
      </c>
      <c r="S792" s="6">
        <v>33</v>
      </c>
      <c r="T792" s="6">
        <v>11.7</v>
      </c>
      <c r="U792" s="3">
        <v>46335.458333333299</v>
      </c>
      <c r="W792" s="7" t="s">
        <v>202</v>
      </c>
      <c r="X792" t="s">
        <v>70</v>
      </c>
      <c r="Y792" t="s">
        <v>68</v>
      </c>
      <c r="Z792" t="s">
        <v>69</v>
      </c>
      <c r="AA792" t="s">
        <v>67</v>
      </c>
      <c r="AB792" t="s">
        <v>67</v>
      </c>
      <c r="AC792" t="s">
        <v>71</v>
      </c>
      <c r="AD792" t="s">
        <v>77</v>
      </c>
      <c r="AE792" t="s">
        <v>70</v>
      </c>
      <c r="AF792" t="s">
        <v>87</v>
      </c>
      <c r="AG792" t="b">
        <f>FALSE()</f>
        <v>0</v>
      </c>
      <c r="AH792" t="b">
        <f>FALSE()</f>
        <v>0</v>
      </c>
      <c r="AI792" t="b">
        <f>FALSE()</f>
        <v>0</v>
      </c>
      <c r="AJ792" t="b">
        <f>FALSE()</f>
        <v>0</v>
      </c>
      <c r="AK792" s="6">
        <v>11.7</v>
      </c>
      <c r="AL792" s="3">
        <v>46335.458333333299</v>
      </c>
      <c r="AM792">
        <v>1</v>
      </c>
      <c r="AO792" t="s">
        <v>112</v>
      </c>
      <c r="AP792" t="s">
        <v>112</v>
      </c>
      <c r="AQ792" t="s">
        <v>203</v>
      </c>
      <c r="AR792">
        <v>1</v>
      </c>
      <c r="AS792" t="b">
        <f>FALSE()</f>
        <v>0</v>
      </c>
      <c r="AT792" t="s">
        <v>114</v>
      </c>
      <c r="AU792" t="b">
        <f>TRUE()</f>
        <v>1</v>
      </c>
      <c r="AV792" t="b">
        <f>FALSE()</f>
        <v>0</v>
      </c>
      <c r="AW792" s="5">
        <v>0</v>
      </c>
      <c r="AY792" t="str">
        <f t="shared" si="4"/>
        <v>2.1.10</v>
      </c>
      <c r="AZ792" t="str">
        <f t="shared" si="5"/>
        <v>NÃO</v>
      </c>
      <c r="BA792" t="str">
        <f t="shared" si="6"/>
        <v>NÃO</v>
      </c>
      <c r="BB792" t="str">
        <f t="shared" si="7"/>
        <v>OUTROS STATUS</v>
      </c>
    </row>
    <row r="793" spans="1:54" ht="15" customHeight="1" x14ac:dyDescent="0.3">
      <c r="A793">
        <v>1</v>
      </c>
      <c r="B793">
        <v>15</v>
      </c>
      <c r="C793" t="s">
        <v>54</v>
      </c>
      <c r="D793" s="3">
        <v>46302.610833333303</v>
      </c>
      <c r="E793" s="4">
        <v>46302</v>
      </c>
      <c r="F793" t="s">
        <v>213</v>
      </c>
      <c r="G793" t="s">
        <v>56</v>
      </c>
      <c r="H793" t="s">
        <v>214</v>
      </c>
      <c r="I793" t="s">
        <v>215</v>
      </c>
      <c r="J793" t="s">
        <v>94</v>
      </c>
      <c r="L793" t="s">
        <v>96</v>
      </c>
      <c r="M793" t="s">
        <v>97</v>
      </c>
      <c r="N793" t="s">
        <v>97</v>
      </c>
      <c r="O793" t="s">
        <v>98</v>
      </c>
      <c r="P793" t="s">
        <v>99</v>
      </c>
      <c r="Q793" s="5">
        <v>1</v>
      </c>
      <c r="R793" s="6">
        <v>736</v>
      </c>
      <c r="S793" s="6">
        <v>736</v>
      </c>
      <c r="T793" s="6">
        <v>460</v>
      </c>
      <c r="U793" s="3">
        <v>46302.458333333299</v>
      </c>
      <c r="W793" s="7" t="s">
        <v>216</v>
      </c>
      <c r="X793" t="s">
        <v>70</v>
      </c>
      <c r="Y793" t="s">
        <v>23</v>
      </c>
      <c r="Z793" t="s">
        <v>69</v>
      </c>
      <c r="AA793" t="s">
        <v>67</v>
      </c>
      <c r="AB793" t="s">
        <v>67</v>
      </c>
      <c r="AC793" t="s">
        <v>101</v>
      </c>
      <c r="AD793" t="s">
        <v>102</v>
      </c>
      <c r="AE793" t="s">
        <v>67</v>
      </c>
      <c r="AG793" t="b">
        <f>FALSE()</f>
        <v>0</v>
      </c>
      <c r="AH793" t="b">
        <f>FALSE()</f>
        <v>0</v>
      </c>
      <c r="AI793" t="b">
        <f>FALSE()</f>
        <v>0</v>
      </c>
      <c r="AJ793" t="b">
        <f>FALSE()</f>
        <v>0</v>
      </c>
      <c r="AK793" s="6">
        <v>460</v>
      </c>
      <c r="AL793" s="3">
        <v>46302.458333333299</v>
      </c>
      <c r="AM793">
        <v>1</v>
      </c>
      <c r="AS793" t="b">
        <f>FALSE()</f>
        <v>0</v>
      </c>
      <c r="AT793" t="s">
        <v>74</v>
      </c>
      <c r="AU793" t="b">
        <f>TRUE()</f>
        <v>1</v>
      </c>
      <c r="AV793" t="b">
        <f>FALSE()</f>
        <v>0</v>
      </c>
      <c r="AW793" s="5">
        <v>0</v>
      </c>
      <c r="AY793" t="str">
        <f t="shared" si="4"/>
        <v>2.1.10</v>
      </c>
      <c r="AZ793" t="str">
        <f t="shared" si="5"/>
        <v/>
      </c>
      <c r="BA793" t="str">
        <f t="shared" si="6"/>
        <v/>
      </c>
      <c r="BB793" t="str">
        <f t="shared" si="7"/>
        <v>SEM PRÓTESE</v>
      </c>
    </row>
  </sheetData>
  <autoFilter ref="A1:BB793" xr:uid="{00000000-0009-0000-0000-000000000000}"/>
  <conditionalFormatting sqref="AP742:AP3250">
    <cfRule type="expression" dxfId="3" priority="4">
      <formula>$BB742="PAGO"</formula>
    </cfRule>
    <cfRule type="expression" dxfId="2" priority="5">
      <formula>$BB742="LIBERADO PARA O FINANCEIRO"</formula>
    </cfRule>
  </conditionalFormatting>
  <conditionalFormatting sqref="BB742:BB3250">
    <cfRule type="cellIs" dxfId="1" priority="2" operator="equal">
      <formula>"PAGO"</formula>
    </cfRule>
    <cfRule type="cellIs" dxfId="0" priority="3" operator="equal">
      <formula>"LIBERADO PARA O FINANCEIRO"</formula>
    </cfRule>
  </conditionalFormatting>
  <pageMargins left="0.7" right="0.7" top="0.75" bottom="0.75" header="0.511811023622047" footer="0.511811023622047"/>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9176F9177473C342B397C3145F82234B" ma:contentTypeVersion="12" ma:contentTypeDescription="Crie um novo documento." ma:contentTypeScope="" ma:versionID="bacf3771da84c061b13d247548abd075">
  <xsd:schema xmlns:xsd="http://www.w3.org/2001/XMLSchema" xmlns:xs="http://www.w3.org/2001/XMLSchema" xmlns:p="http://schemas.microsoft.com/office/2006/metadata/properties" xmlns:ns2="8c4d941a-830c-4c83-91a5-660c57c0811d" xmlns:ns3="6a63ea19-5159-444e-9ddc-720200c3628d" targetNamespace="http://schemas.microsoft.com/office/2006/metadata/properties" ma:root="true" ma:fieldsID="08f78fd16fa9af26a61d11ac8ef2cd2c" ns2:_="" ns3:_="">
    <xsd:import namespace="8c4d941a-830c-4c83-91a5-660c57c0811d"/>
    <xsd:import namespace="6a63ea19-5159-444e-9ddc-720200c3628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c4d941a-830c-4c83-91a5-660c57c0811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Marcações de imagem" ma:readOnly="false" ma:fieldId="{5cf76f15-5ced-4ddc-b409-7134ff3c332f}" ma:taxonomyMulti="true" ma:sspId="f8bd3579-8ffd-481d-b7a3-8a2d4f39f42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BillingMetadata" ma:index="19"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a63ea19-5159-444e-9ddc-720200c3628d"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5c825a98-bc5d-4726-b479-5a4c221f0fdf}" ma:internalName="TaxCatchAll" ma:showField="CatchAllData" ma:web="6a63ea19-5159-444e-9ddc-720200c3628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6a63ea19-5159-444e-9ddc-720200c3628d" xsi:nil="true"/>
    <lcf76f155ced4ddcb4097134ff3c332f xmlns="8c4d941a-830c-4c83-91a5-660c57c0811d">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0881DB2F-DE1E-472F-82ED-C2B3724EAD01}"/>
</file>

<file path=customXml/itemProps2.xml><?xml version="1.0" encoding="utf-8"?>
<ds:datastoreItem xmlns:ds="http://schemas.openxmlformats.org/officeDocument/2006/customXml" ds:itemID="{6C0BE328-F552-4B82-8A26-EA39CD5AA4D5}"/>
</file>

<file path=customXml/itemProps3.xml><?xml version="1.0" encoding="utf-8"?>
<ds:datastoreItem xmlns:ds="http://schemas.openxmlformats.org/officeDocument/2006/customXml" ds:itemID="{614AB5C5-56D8-4B5D-A11C-0156B96919FF}"/>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Planos de tratamento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Fernanda Elisa Ferreira Ananias</cp:lastModifiedBy>
  <cp:revision>0</cp:revision>
  <dcterms:created xsi:type="dcterms:W3CDTF">2026-09-11T11:31:37Z</dcterms:created>
  <dcterms:modified xsi:type="dcterms:W3CDTF">2026-10-12T20:54:25Z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0x0101009176F9177473C342B397C3145F82234B</vt:lpwstr>
  </property>
</Properties>
</file>